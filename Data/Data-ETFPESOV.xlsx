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5023DB39-CFF1-4410-AB6D-07BE4413FCFB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344" i="1" l="1"/>
  <c r="AD344" i="1"/>
  <c r="AC344" i="1"/>
  <c r="Y344" i="1"/>
  <c r="X344" i="1"/>
  <c r="AE182" i="1" l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181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62" i="1"/>
  <c r="AD63" i="1"/>
  <c r="AD61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31" i="1"/>
  <c r="X4" i="1"/>
  <c r="X5" i="1"/>
  <c r="X6" i="1"/>
  <c r="X7" i="1"/>
  <c r="X8" i="1"/>
  <c r="X9" i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X21" i="1"/>
  <c r="X22" i="1"/>
  <c r="X23" i="1"/>
  <c r="X24" i="1"/>
  <c r="X25" i="1"/>
  <c r="X26" i="1"/>
  <c r="X27" i="1"/>
  <c r="X28" i="1"/>
  <c r="Y28" i="1" s="1"/>
  <c r="X29" i="1"/>
  <c r="Y29" i="1" s="1"/>
  <c r="X30" i="1"/>
  <c r="X31" i="1"/>
  <c r="Y31" i="1" s="1"/>
  <c r="X32" i="1"/>
  <c r="Y32" i="1" s="1"/>
  <c r="X33" i="1"/>
  <c r="Y33" i="1" s="1"/>
  <c r="X34" i="1"/>
  <c r="Y34" i="1" s="1"/>
  <c r="X35" i="1"/>
  <c r="Y35" i="1" s="1"/>
  <c r="X36" i="1"/>
  <c r="X37" i="1"/>
  <c r="X38" i="1"/>
  <c r="X39" i="1"/>
  <c r="X40" i="1"/>
  <c r="X41" i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X53" i="1"/>
  <c r="X54" i="1"/>
  <c r="X55" i="1"/>
  <c r="Y55" i="1" s="1"/>
  <c r="X56" i="1"/>
  <c r="Y56" i="1" s="1"/>
  <c r="X57" i="1"/>
  <c r="X58" i="1"/>
  <c r="X59" i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X69" i="1"/>
  <c r="X70" i="1"/>
  <c r="X71" i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X82" i="1"/>
  <c r="X83" i="1"/>
  <c r="X84" i="1"/>
  <c r="X85" i="1"/>
  <c r="X86" i="1"/>
  <c r="X87" i="1"/>
  <c r="X88" i="1"/>
  <c r="X89" i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X101" i="1"/>
  <c r="X102" i="1"/>
  <c r="X103" i="1"/>
  <c r="X104" i="1"/>
  <c r="X105" i="1"/>
  <c r="X106" i="1"/>
  <c r="X107" i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X114" i="1"/>
  <c r="X115" i="1"/>
  <c r="X116" i="1"/>
  <c r="X117" i="1"/>
  <c r="X118" i="1"/>
  <c r="X119" i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X133" i="1"/>
  <c r="X134" i="1"/>
  <c r="X135" i="1"/>
  <c r="X136" i="1"/>
  <c r="X137" i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X146" i="1"/>
  <c r="Y146" i="1" s="1"/>
  <c r="X147" i="1"/>
  <c r="Y147" i="1" s="1"/>
  <c r="X148" i="1"/>
  <c r="X149" i="1"/>
  <c r="X150" i="1"/>
  <c r="X151" i="1"/>
  <c r="X152" i="1"/>
  <c r="X153" i="1"/>
  <c r="X154" i="1"/>
  <c r="X155" i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X165" i="1"/>
  <c r="X166" i="1"/>
  <c r="X167" i="1"/>
  <c r="X168" i="1"/>
  <c r="X169" i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X181" i="1"/>
  <c r="X182" i="1"/>
  <c r="X183" i="1"/>
  <c r="Y183" i="1" s="1"/>
  <c r="X184" i="1"/>
  <c r="Y184" i="1" s="1"/>
  <c r="X185" i="1"/>
  <c r="X186" i="1"/>
  <c r="X187" i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X194" i="1"/>
  <c r="Y194" i="1" s="1"/>
  <c r="X195" i="1"/>
  <c r="Y195" i="1" s="1"/>
  <c r="X196" i="1"/>
  <c r="X197" i="1"/>
  <c r="X198" i="1"/>
  <c r="X199" i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X213" i="1"/>
  <c r="X214" i="1"/>
  <c r="X215" i="1"/>
  <c r="X216" i="1"/>
  <c r="X217" i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X229" i="1"/>
  <c r="X230" i="1"/>
  <c r="X231" i="1"/>
  <c r="X232" i="1"/>
  <c r="X233" i="1"/>
  <c r="X234" i="1"/>
  <c r="X235" i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X243" i="1"/>
  <c r="X244" i="1"/>
  <c r="X245" i="1"/>
  <c r="X246" i="1"/>
  <c r="X247" i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X261" i="1"/>
  <c r="X262" i="1"/>
  <c r="X263" i="1"/>
  <c r="X264" i="1"/>
  <c r="X265" i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X274" i="1"/>
  <c r="Y274" i="1" s="1"/>
  <c r="X275" i="1"/>
  <c r="Y275" i="1" s="1"/>
  <c r="X276" i="1"/>
  <c r="X277" i="1"/>
  <c r="X278" i="1"/>
  <c r="X279" i="1"/>
  <c r="X280" i="1"/>
  <c r="X281" i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X293" i="1"/>
  <c r="X294" i="1"/>
  <c r="X295" i="1"/>
  <c r="X296" i="1"/>
  <c r="X297" i="1"/>
  <c r="X298" i="1"/>
  <c r="X299" i="1"/>
  <c r="X300" i="1"/>
  <c r="Y300" i="1" s="1"/>
  <c r="X301" i="1"/>
  <c r="Y301" i="1" s="1"/>
  <c r="X302" i="1"/>
  <c r="Y302" i="1" s="1"/>
  <c r="X303" i="1"/>
  <c r="Y303" i="1" s="1"/>
  <c r="Z332" i="1" s="1"/>
  <c r="X304" i="1"/>
  <c r="Y304" i="1" s="1"/>
  <c r="X305" i="1"/>
  <c r="Y305" i="1" s="1"/>
  <c r="X306" i="1"/>
  <c r="Y306" i="1" s="1"/>
  <c r="X307" i="1"/>
  <c r="Y307" i="1" s="1"/>
  <c r="X308" i="1"/>
  <c r="X309" i="1"/>
  <c r="X310" i="1"/>
  <c r="X311" i="1"/>
  <c r="Y311" i="1" s="1"/>
  <c r="X312" i="1"/>
  <c r="Y312" i="1" s="1"/>
  <c r="X313" i="1"/>
  <c r="X314" i="1"/>
  <c r="X315" i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X322" i="1"/>
  <c r="X323" i="1"/>
  <c r="X324" i="1"/>
  <c r="X325" i="1"/>
  <c r="X326" i="1"/>
  <c r="X327" i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X341" i="1"/>
  <c r="X342" i="1"/>
  <c r="X343" i="1"/>
  <c r="Y343" i="1" s="1"/>
  <c r="X3" i="1"/>
  <c r="AA117" i="1"/>
  <c r="Z169" i="1"/>
  <c r="Y4" i="1"/>
  <c r="Y5" i="1"/>
  <c r="Y6" i="1"/>
  <c r="Y7" i="1"/>
  <c r="Y8" i="1"/>
  <c r="Y9" i="1"/>
  <c r="Y20" i="1"/>
  <c r="Y21" i="1"/>
  <c r="Y22" i="1"/>
  <c r="Y23" i="1"/>
  <c r="Y24" i="1"/>
  <c r="Y25" i="1"/>
  <c r="Y26" i="1"/>
  <c r="Y27" i="1"/>
  <c r="Y30" i="1"/>
  <c r="Y36" i="1"/>
  <c r="Y37" i="1"/>
  <c r="Y38" i="1"/>
  <c r="Y39" i="1"/>
  <c r="Y40" i="1"/>
  <c r="Y41" i="1"/>
  <c r="Y52" i="1"/>
  <c r="Y53" i="1"/>
  <c r="Y54" i="1"/>
  <c r="Y57" i="1"/>
  <c r="Y58" i="1"/>
  <c r="Y59" i="1"/>
  <c r="Y68" i="1"/>
  <c r="Y69" i="1"/>
  <c r="Y70" i="1"/>
  <c r="Y71" i="1"/>
  <c r="Y81" i="1"/>
  <c r="Y82" i="1"/>
  <c r="Y83" i="1"/>
  <c r="Y84" i="1"/>
  <c r="Y85" i="1"/>
  <c r="Y86" i="1"/>
  <c r="Y87" i="1"/>
  <c r="Y88" i="1"/>
  <c r="Y89" i="1"/>
  <c r="Y100" i="1"/>
  <c r="Y101" i="1"/>
  <c r="Y102" i="1"/>
  <c r="Y103" i="1"/>
  <c r="Y104" i="1"/>
  <c r="Y105" i="1"/>
  <c r="Y106" i="1"/>
  <c r="Y107" i="1"/>
  <c r="Y113" i="1"/>
  <c r="Y114" i="1"/>
  <c r="Y115" i="1"/>
  <c r="Y116" i="1"/>
  <c r="Y117" i="1"/>
  <c r="Y118" i="1"/>
  <c r="Y119" i="1"/>
  <c r="Y132" i="1"/>
  <c r="Y133" i="1"/>
  <c r="Y134" i="1"/>
  <c r="Y135" i="1"/>
  <c r="Y136" i="1"/>
  <c r="Y137" i="1"/>
  <c r="Y145" i="1"/>
  <c r="Y148" i="1"/>
  <c r="Y149" i="1"/>
  <c r="Y150" i="1"/>
  <c r="Y151" i="1"/>
  <c r="Y152" i="1"/>
  <c r="Y153" i="1"/>
  <c r="Y154" i="1"/>
  <c r="Y155" i="1"/>
  <c r="Y164" i="1"/>
  <c r="Y165" i="1"/>
  <c r="Y166" i="1"/>
  <c r="Y167" i="1"/>
  <c r="Y168" i="1"/>
  <c r="Y169" i="1"/>
  <c r="Y180" i="1"/>
  <c r="Y181" i="1"/>
  <c r="Y182" i="1"/>
  <c r="Y185" i="1"/>
  <c r="Y186" i="1"/>
  <c r="Y187" i="1"/>
  <c r="Y193" i="1"/>
  <c r="Y196" i="1"/>
  <c r="Y197" i="1"/>
  <c r="Y198" i="1"/>
  <c r="Y199" i="1"/>
  <c r="Y212" i="1"/>
  <c r="Y213" i="1"/>
  <c r="Y214" i="1"/>
  <c r="Y215" i="1"/>
  <c r="Y216" i="1"/>
  <c r="Y217" i="1"/>
  <c r="Y228" i="1"/>
  <c r="Y229" i="1"/>
  <c r="Y230" i="1"/>
  <c r="Y231" i="1"/>
  <c r="Y232" i="1"/>
  <c r="Y233" i="1"/>
  <c r="Y234" i="1"/>
  <c r="Y235" i="1"/>
  <c r="Y242" i="1"/>
  <c r="Y243" i="1"/>
  <c r="Y244" i="1"/>
  <c r="Y245" i="1"/>
  <c r="Y246" i="1"/>
  <c r="Y247" i="1"/>
  <c r="Y260" i="1"/>
  <c r="Y261" i="1"/>
  <c r="Y262" i="1"/>
  <c r="Y263" i="1"/>
  <c r="Y264" i="1"/>
  <c r="Y265" i="1"/>
  <c r="Y273" i="1"/>
  <c r="Y276" i="1"/>
  <c r="Y277" i="1"/>
  <c r="Y278" i="1"/>
  <c r="Y279" i="1"/>
  <c r="Y280" i="1"/>
  <c r="Y281" i="1"/>
  <c r="Y292" i="1"/>
  <c r="Y293" i="1"/>
  <c r="Y294" i="1"/>
  <c r="Y295" i="1"/>
  <c r="Y296" i="1"/>
  <c r="Y297" i="1"/>
  <c r="Y298" i="1"/>
  <c r="Y299" i="1"/>
  <c r="Y308" i="1"/>
  <c r="Y309" i="1"/>
  <c r="Y310" i="1"/>
  <c r="Y313" i="1"/>
  <c r="Y314" i="1"/>
  <c r="Y315" i="1"/>
  <c r="Y321" i="1"/>
  <c r="Y322" i="1"/>
  <c r="Y323" i="1"/>
  <c r="Y324" i="1"/>
  <c r="Y325" i="1"/>
  <c r="Y326" i="1"/>
  <c r="Y327" i="1"/>
  <c r="Y340" i="1"/>
  <c r="Y341" i="1"/>
  <c r="Y342" i="1"/>
  <c r="Y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Z344" i="1" l="1"/>
  <c r="AA344" i="1"/>
  <c r="AB344" i="1"/>
  <c r="AA251" i="1"/>
  <c r="Z221" i="1"/>
  <c r="Z333" i="1"/>
  <c r="Z317" i="1"/>
  <c r="AA331" i="1"/>
  <c r="Z301" i="1"/>
  <c r="Z285" i="1"/>
  <c r="AA315" i="1"/>
  <c r="Z269" i="1"/>
  <c r="AA283" i="1"/>
  <c r="Z253" i="1"/>
  <c r="AA267" i="1"/>
  <c r="Z237" i="1"/>
  <c r="AA235" i="1"/>
  <c r="Z205" i="1"/>
  <c r="AB339" i="1"/>
  <c r="AA219" i="1"/>
  <c r="Z189" i="1"/>
  <c r="AA203" i="1"/>
  <c r="AB323" i="1"/>
  <c r="Z173" i="1"/>
  <c r="AB307" i="1"/>
  <c r="AA187" i="1"/>
  <c r="Z157" i="1"/>
  <c r="AA171" i="1"/>
  <c r="AB291" i="1"/>
  <c r="Z141" i="1"/>
  <c r="AB275" i="1"/>
  <c r="AA155" i="1"/>
  <c r="Z125" i="1"/>
  <c r="AA139" i="1"/>
  <c r="AB259" i="1"/>
  <c r="Z109" i="1"/>
  <c r="AB243" i="1"/>
  <c r="AA123" i="1"/>
  <c r="Z93" i="1"/>
  <c r="AA107" i="1"/>
  <c r="AB227" i="1"/>
  <c r="Z77" i="1"/>
  <c r="AB211" i="1"/>
  <c r="AA91" i="1"/>
  <c r="Z61" i="1"/>
  <c r="AA75" i="1"/>
  <c r="AB195" i="1"/>
  <c r="Z45" i="1"/>
  <c r="Z148" i="1"/>
  <c r="AA116" i="1"/>
  <c r="Z316" i="1"/>
  <c r="AA330" i="1"/>
  <c r="Z300" i="1"/>
  <c r="AA314" i="1"/>
  <c r="Z284" i="1"/>
  <c r="AA298" i="1"/>
  <c r="Z268" i="1"/>
  <c r="AA282" i="1"/>
  <c r="Z252" i="1"/>
  <c r="AA266" i="1"/>
  <c r="Z236" i="1"/>
  <c r="AA250" i="1"/>
  <c r="Z220" i="1"/>
  <c r="AA234" i="1"/>
  <c r="Z204" i="1"/>
  <c r="AB338" i="1"/>
  <c r="AA218" i="1"/>
  <c r="Z188" i="1"/>
  <c r="AB322" i="1"/>
  <c r="AA202" i="1"/>
  <c r="Z172" i="1"/>
  <c r="AB313" i="1"/>
  <c r="AB318" i="1"/>
  <c r="AB319" i="1"/>
  <c r="AB320" i="1"/>
  <c r="AB306" i="1"/>
  <c r="AA186" i="1"/>
  <c r="Z156" i="1"/>
  <c r="AB290" i="1"/>
  <c r="AA170" i="1"/>
  <c r="Z140" i="1"/>
  <c r="AB274" i="1"/>
  <c r="AA154" i="1"/>
  <c r="Z124" i="1"/>
  <c r="AA147" i="1"/>
  <c r="Z116" i="1"/>
  <c r="AA148" i="1"/>
  <c r="Z117" i="1"/>
  <c r="AB268" i="1"/>
  <c r="AB269" i="1"/>
  <c r="AB270" i="1"/>
  <c r="AB258" i="1"/>
  <c r="AA138" i="1"/>
  <c r="Z108" i="1"/>
  <c r="AB245" i="1"/>
  <c r="AB242" i="1"/>
  <c r="AA122" i="1"/>
  <c r="Z92" i="1"/>
  <c r="AB226" i="1"/>
  <c r="AA106" i="1"/>
  <c r="Z76" i="1"/>
  <c r="AB210" i="1"/>
  <c r="AA90" i="1"/>
  <c r="Z60" i="1"/>
  <c r="AB194" i="1"/>
  <c r="AA74" i="1"/>
  <c r="Z43" i="1"/>
  <c r="AA66" i="1"/>
  <c r="Z44" i="1"/>
  <c r="AA67" i="1"/>
  <c r="AA68" i="1"/>
  <c r="AA69" i="1"/>
  <c r="AA70" i="1"/>
  <c r="AB189" i="1"/>
  <c r="AB190" i="1"/>
  <c r="AB191" i="1"/>
  <c r="AB192" i="1"/>
  <c r="Z147" i="1"/>
  <c r="AB272" i="1"/>
  <c r="Z338" i="1"/>
  <c r="Z339" i="1"/>
  <c r="Z331" i="1"/>
  <c r="Z313" i="1"/>
  <c r="Z314" i="1"/>
  <c r="Z315" i="1"/>
  <c r="AA329" i="1"/>
  <c r="Z299" i="1"/>
  <c r="AA326" i="1"/>
  <c r="AA313" i="1"/>
  <c r="Z283" i="1"/>
  <c r="AA297" i="1"/>
  <c r="Z267" i="1"/>
  <c r="AA291" i="1"/>
  <c r="AA292" i="1"/>
  <c r="AA293" i="1"/>
  <c r="AA294" i="1"/>
  <c r="AA281" i="1"/>
  <c r="Z245" i="1"/>
  <c r="Z246" i="1"/>
  <c r="Z247" i="1"/>
  <c r="AA265" i="1"/>
  <c r="AA255" i="1"/>
  <c r="Z235" i="1"/>
  <c r="AA258" i="1"/>
  <c r="AA264" i="1"/>
  <c r="AA256" i="1"/>
  <c r="AA257" i="1"/>
  <c r="AA249" i="1"/>
  <c r="Z219" i="1"/>
  <c r="AA233" i="1"/>
  <c r="Z203" i="1"/>
  <c r="AA217" i="1"/>
  <c r="AB337" i="1"/>
  <c r="Z187" i="1"/>
  <c r="Z180" i="1"/>
  <c r="Z181" i="1"/>
  <c r="Z182" i="1"/>
  <c r="Z183" i="1"/>
  <c r="Z184" i="1"/>
  <c r="AA185" i="1"/>
  <c r="AB305" i="1"/>
  <c r="Z155" i="1"/>
  <c r="AA121" i="1"/>
  <c r="Z91" i="1"/>
  <c r="AB239" i="1"/>
  <c r="AB240" i="1"/>
  <c r="AB241" i="1"/>
  <c r="AA109" i="1"/>
  <c r="Z78" i="1"/>
  <c r="AA110" i="1"/>
  <c r="Z89" i="1"/>
  <c r="AA111" i="1"/>
  <c r="AA105" i="1"/>
  <c r="AB225" i="1"/>
  <c r="Z73" i="1"/>
  <c r="Z74" i="1"/>
  <c r="Z75" i="1"/>
  <c r="Z115" i="1"/>
  <c r="AB271" i="1"/>
  <c r="Z234" i="1"/>
  <c r="Z90" i="1"/>
  <c r="Z114" i="1"/>
  <c r="AB234" i="1"/>
  <c r="Z111" i="1"/>
  <c r="AB233" i="1"/>
  <c r="AA322" i="1"/>
  <c r="AB207" i="1"/>
  <c r="Z302" i="1"/>
  <c r="AA332" i="1"/>
  <c r="AA321" i="1"/>
  <c r="AB193" i="1"/>
  <c r="AA320" i="1"/>
  <c r="AA299" i="1"/>
  <c r="Z278" i="1"/>
  <c r="AA296" i="1"/>
  <c r="Z277" i="1"/>
  <c r="AA295" i="1"/>
  <c r="Z276" i="1"/>
  <c r="AA146" i="1"/>
  <c r="Z275" i="1"/>
  <c r="AA145" i="1"/>
  <c r="Z274" i="1"/>
  <c r="AA144" i="1"/>
  <c r="Z251" i="1"/>
  <c r="AA143" i="1"/>
  <c r="AA324" i="1"/>
  <c r="Z294" i="1"/>
  <c r="Z258" i="1"/>
  <c r="AB264" i="1"/>
  <c r="Z110" i="1"/>
  <c r="Z281" i="1"/>
  <c r="AA199" i="1"/>
  <c r="AB287" i="1"/>
  <c r="AA119" i="1"/>
  <c r="Z57" i="1"/>
  <c r="Z328" i="1"/>
  <c r="Z144" i="1"/>
  <c r="AA174" i="1"/>
  <c r="AB294" i="1"/>
  <c r="Z113" i="1"/>
  <c r="AB263" i="1"/>
  <c r="AA342" i="1"/>
  <c r="Z312" i="1"/>
  <c r="Z296" i="1"/>
  <c r="AA310" i="1"/>
  <c r="Z280" i="1"/>
  <c r="AA230" i="1"/>
  <c r="Z200" i="1"/>
  <c r="AA198" i="1"/>
  <c r="Z152" i="1"/>
  <c r="AA182" i="1"/>
  <c r="AB302" i="1"/>
  <c r="AA102" i="1"/>
  <c r="AB222" i="1"/>
  <c r="Z72" i="1"/>
  <c r="Z327" i="1"/>
  <c r="Z292" i="1"/>
  <c r="Z216" i="1"/>
  <c r="AA246" i="1"/>
  <c r="AA173" i="1"/>
  <c r="AB293" i="1"/>
  <c r="Z143" i="1"/>
  <c r="Z112" i="1"/>
  <c r="AB262" i="1"/>
  <c r="AA142" i="1"/>
  <c r="AA341" i="1"/>
  <c r="Z311" i="1"/>
  <c r="AA339" i="1"/>
  <c r="AA340" i="1"/>
  <c r="AA309" i="1"/>
  <c r="AA277" i="1"/>
  <c r="AA229" i="1"/>
  <c r="Z199" i="1"/>
  <c r="AA181" i="1"/>
  <c r="Z151" i="1"/>
  <c r="AB299" i="1"/>
  <c r="AB300" i="1"/>
  <c r="AB301" i="1"/>
  <c r="AA176" i="1"/>
  <c r="AA177" i="1"/>
  <c r="AA178" i="1"/>
  <c r="AA179" i="1"/>
  <c r="Z146" i="1"/>
  <c r="AA149" i="1"/>
  <c r="AA101" i="1"/>
  <c r="AB215" i="1"/>
  <c r="AB220" i="1"/>
  <c r="Z69" i="1"/>
  <c r="AB221" i="1"/>
  <c r="Z70" i="1"/>
  <c r="AA97" i="1"/>
  <c r="Z71" i="1"/>
  <c r="AA98" i="1"/>
  <c r="AA99" i="1"/>
  <c r="AA100" i="1"/>
  <c r="Z326" i="1"/>
  <c r="AA245" i="1"/>
  <c r="Z210" i="1"/>
  <c r="Z211" i="1"/>
  <c r="Z215" i="1"/>
  <c r="AB292" i="1"/>
  <c r="AA172" i="1"/>
  <c r="Z142" i="1"/>
  <c r="AB261" i="1"/>
  <c r="AA141" i="1"/>
  <c r="AB185" i="1"/>
  <c r="Z35" i="1"/>
  <c r="AA65" i="1"/>
  <c r="Z206" i="1"/>
  <c r="AA226" i="1"/>
  <c r="Z325" i="1"/>
  <c r="AA276" i="1"/>
  <c r="AB286" i="1"/>
  <c r="AA166" i="1"/>
  <c r="Z136" i="1"/>
  <c r="AB260" i="1"/>
  <c r="AA140" i="1"/>
  <c r="AB216" i="1"/>
  <c r="AB184" i="1"/>
  <c r="Z34" i="1"/>
  <c r="AA64" i="1"/>
  <c r="AA225" i="1"/>
  <c r="AA275" i="1"/>
  <c r="AA165" i="1"/>
  <c r="Z135" i="1"/>
  <c r="Z33" i="1"/>
  <c r="AB183" i="1"/>
  <c r="AA62" i="1"/>
  <c r="AA63" i="1"/>
  <c r="AA224" i="1"/>
  <c r="Z244" i="1"/>
  <c r="AA274" i="1"/>
  <c r="AB324" i="1"/>
  <c r="Z174" i="1"/>
  <c r="AA204" i="1"/>
  <c r="AB284" i="1"/>
  <c r="AA164" i="1"/>
  <c r="Z134" i="1"/>
  <c r="Z32" i="1"/>
  <c r="AA223" i="1"/>
  <c r="Z243" i="1"/>
  <c r="AA273" i="1"/>
  <c r="AB316" i="1"/>
  <c r="AA196" i="1"/>
  <c r="Z166" i="1"/>
  <c r="AA89" i="1"/>
  <c r="Z59" i="1"/>
  <c r="AB209" i="1"/>
  <c r="AA335" i="1"/>
  <c r="AA222" i="1"/>
  <c r="AB312" i="1"/>
  <c r="Z242" i="1"/>
  <c r="AA272" i="1"/>
  <c r="Z198" i="1"/>
  <c r="AA228" i="1"/>
  <c r="AB315" i="1"/>
  <c r="Z165" i="1"/>
  <c r="AA190" i="1"/>
  <c r="AB206" i="1"/>
  <c r="Z56" i="1"/>
  <c r="AA86" i="1"/>
  <c r="AA334" i="1"/>
  <c r="AA221" i="1"/>
  <c r="AB311" i="1"/>
  <c r="Z279" i="1"/>
  <c r="AA195" i="1"/>
  <c r="AB285" i="1"/>
  <c r="Z273" i="1"/>
  <c r="AA303" i="1"/>
  <c r="Z241" i="1"/>
  <c r="AA271" i="1"/>
  <c r="Z197" i="1"/>
  <c r="AA227" i="1"/>
  <c r="AB314" i="1"/>
  <c r="AA194" i="1"/>
  <c r="Z164" i="1"/>
  <c r="AB205" i="1"/>
  <c r="Z55" i="1"/>
  <c r="AA85" i="1"/>
  <c r="Z53" i="1"/>
  <c r="AA189" i="1"/>
  <c r="Z272" i="1"/>
  <c r="AA302" i="1"/>
  <c r="Z196" i="1"/>
  <c r="AB343" i="1"/>
  <c r="AA193" i="1"/>
  <c r="Z163" i="1"/>
  <c r="AB238" i="1"/>
  <c r="Z88" i="1"/>
  <c r="AA118" i="1"/>
  <c r="Z52" i="1"/>
  <c r="AA188" i="1"/>
  <c r="Z308" i="1"/>
  <c r="AA338" i="1"/>
  <c r="AA301" i="1"/>
  <c r="Z271" i="1"/>
  <c r="Z195" i="1"/>
  <c r="AA192" i="1"/>
  <c r="Z162" i="1"/>
  <c r="AB237" i="1"/>
  <c r="Z87" i="1"/>
  <c r="Z51" i="1"/>
  <c r="AA268" i="1"/>
  <c r="AB182" i="1"/>
  <c r="AA337" i="1"/>
  <c r="Z226" i="1"/>
  <c r="Z194" i="1"/>
  <c r="Z118" i="1"/>
  <c r="Z86" i="1"/>
  <c r="AB236" i="1"/>
  <c r="AB231" i="1"/>
  <c r="AB232" i="1"/>
  <c r="Z307" i="1"/>
  <c r="Z336" i="1"/>
  <c r="Z320" i="1"/>
  <c r="Z304" i="1"/>
  <c r="Z288" i="1"/>
  <c r="AA318" i="1"/>
  <c r="Z256" i="1"/>
  <c r="AA286" i="1"/>
  <c r="Z240" i="1"/>
  <c r="AA270" i="1"/>
  <c r="Z224" i="1"/>
  <c r="AA254" i="1"/>
  <c r="Z208" i="1"/>
  <c r="AA238" i="1"/>
  <c r="Z192" i="1"/>
  <c r="AB342" i="1"/>
  <c r="Z176" i="1"/>
  <c r="AA206" i="1"/>
  <c r="AB326" i="1"/>
  <c r="Z160" i="1"/>
  <c r="AB310" i="1"/>
  <c r="Z128" i="1"/>
  <c r="AB278" i="1"/>
  <c r="AA158" i="1"/>
  <c r="Z96" i="1"/>
  <c r="AB246" i="1"/>
  <c r="AA126" i="1"/>
  <c r="Z80" i="1"/>
  <c r="AB230" i="1"/>
  <c r="Z64" i="1"/>
  <c r="AA94" i="1"/>
  <c r="AB214" i="1"/>
  <c r="Z48" i="1"/>
  <c r="AB198" i="1"/>
  <c r="AA78" i="1"/>
  <c r="Z306" i="1"/>
  <c r="AA336" i="1"/>
  <c r="Z335" i="1"/>
  <c r="Z319" i="1"/>
  <c r="Z303" i="1"/>
  <c r="AA333" i="1"/>
  <c r="Z287" i="1"/>
  <c r="AA317" i="1"/>
  <c r="AA285" i="1"/>
  <c r="Z255" i="1"/>
  <c r="AA269" i="1"/>
  <c r="Z239" i="1"/>
  <c r="AA253" i="1"/>
  <c r="Z223" i="1"/>
  <c r="AA237" i="1"/>
  <c r="Z191" i="1"/>
  <c r="AB341" i="1"/>
  <c r="Z175" i="1"/>
  <c r="AB325" i="1"/>
  <c r="AA205" i="1"/>
  <c r="AB309" i="1"/>
  <c r="Z159" i="1"/>
  <c r="AB277" i="1"/>
  <c r="AA157" i="1"/>
  <c r="Z127" i="1"/>
  <c r="AA125" i="1"/>
  <c r="Z95" i="1"/>
  <c r="Z79" i="1"/>
  <c r="AB229" i="1"/>
  <c r="AA93" i="1"/>
  <c r="AB213" i="1"/>
  <c r="Z63" i="1"/>
  <c r="AB197" i="1"/>
  <c r="Z47" i="1"/>
  <c r="AA77" i="1"/>
  <c r="AA252" i="1"/>
  <c r="Z222" i="1"/>
  <c r="Z82" i="1"/>
  <c r="Z207" i="1"/>
  <c r="Z334" i="1"/>
  <c r="Z318" i="1"/>
  <c r="Z286" i="1"/>
  <c r="AA316" i="1"/>
  <c r="AA300" i="1"/>
  <c r="Z270" i="1"/>
  <c r="AA284" i="1"/>
  <c r="Z254" i="1"/>
  <c r="Z238" i="1"/>
  <c r="AA236" i="1"/>
  <c r="AB340" i="1"/>
  <c r="Z190" i="1"/>
  <c r="AA220" i="1"/>
  <c r="AB308" i="1"/>
  <c r="Z158" i="1"/>
  <c r="AB276" i="1"/>
  <c r="AA156" i="1"/>
  <c r="Z126" i="1"/>
  <c r="AB244" i="1"/>
  <c r="AA124" i="1"/>
  <c r="Z94" i="1"/>
  <c r="AB228" i="1"/>
  <c r="AA108" i="1"/>
  <c r="AB212" i="1"/>
  <c r="Z62" i="1"/>
  <c r="AA92" i="1"/>
  <c r="AB196" i="1"/>
  <c r="Z46" i="1"/>
  <c r="AA76" i="1"/>
  <c r="AA201" i="1"/>
  <c r="Z171" i="1"/>
  <c r="AA169" i="1"/>
  <c r="Z139" i="1"/>
  <c r="AA153" i="1"/>
  <c r="AB273" i="1"/>
  <c r="AA137" i="1"/>
  <c r="AB257" i="1"/>
  <c r="Z107" i="1"/>
  <c r="AA73" i="1"/>
  <c r="Z324" i="1"/>
  <c r="AA323" i="1"/>
  <c r="Z214" i="1"/>
  <c r="AA240" i="1"/>
  <c r="Z161" i="1"/>
  <c r="AA191" i="1"/>
  <c r="AB283" i="1"/>
  <c r="AB250" i="1"/>
  <c r="AB204" i="1"/>
  <c r="Z168" i="1"/>
  <c r="Z137" i="1"/>
  <c r="Z101" i="1"/>
  <c r="Z42" i="1"/>
  <c r="AA319" i="1"/>
  <c r="AB267" i="1"/>
  <c r="AB188" i="1"/>
  <c r="Z330" i="1"/>
  <c r="AA328" i="1"/>
  <c r="Z282" i="1"/>
  <c r="Z266" i="1"/>
  <c r="Z250" i="1"/>
  <c r="AA280" i="1"/>
  <c r="AA248" i="1"/>
  <c r="Z218" i="1"/>
  <c r="AA232" i="1"/>
  <c r="AB336" i="1"/>
  <c r="Z170" i="1"/>
  <c r="AA184" i="1"/>
  <c r="AB304" i="1"/>
  <c r="Z138" i="1"/>
  <c r="Z122" i="1"/>
  <c r="AA152" i="1"/>
  <c r="AB256" i="1"/>
  <c r="Z106" i="1"/>
  <c r="AB224" i="1"/>
  <c r="AA104" i="1"/>
  <c r="Z58" i="1"/>
  <c r="AA72" i="1"/>
  <c r="Z323" i="1"/>
  <c r="Z264" i="1"/>
  <c r="Z132" i="1"/>
  <c r="AB282" i="1"/>
  <c r="AB203" i="1"/>
  <c r="Z298" i="1"/>
  <c r="Z167" i="1"/>
  <c r="Z100" i="1"/>
  <c r="Z36" i="1"/>
  <c r="AA290" i="1"/>
  <c r="AA247" i="1"/>
  <c r="AA216" i="1"/>
  <c r="AB266" i="1"/>
  <c r="AB223" i="1"/>
  <c r="AB187" i="1"/>
  <c r="Z329" i="1"/>
  <c r="AA343" i="1"/>
  <c r="AA327" i="1"/>
  <c r="Z265" i="1"/>
  <c r="Z249" i="1"/>
  <c r="AA263" i="1"/>
  <c r="Z217" i="1"/>
  <c r="AA231" i="1"/>
  <c r="AB335" i="1"/>
  <c r="AB303" i="1"/>
  <c r="AA183" i="1"/>
  <c r="Z153" i="1"/>
  <c r="AA151" i="1"/>
  <c r="Z121" i="1"/>
  <c r="AB255" i="1"/>
  <c r="Z105" i="1"/>
  <c r="AA135" i="1"/>
  <c r="AA103" i="1"/>
  <c r="AA71" i="1"/>
  <c r="Z41" i="1"/>
  <c r="Z322" i="1"/>
  <c r="Z291" i="1"/>
  <c r="Z263" i="1"/>
  <c r="AA239" i="1"/>
  <c r="AB334" i="1"/>
  <c r="AA214" i="1"/>
  <c r="Z131" i="1"/>
  <c r="AA161" i="1"/>
  <c r="AB281" i="1"/>
  <c r="AA128" i="1"/>
  <c r="AA82" i="1"/>
  <c r="AB202" i="1"/>
  <c r="Z297" i="1"/>
  <c r="Z233" i="1"/>
  <c r="Z202" i="1"/>
  <c r="Z99" i="1"/>
  <c r="AA279" i="1"/>
  <c r="AA215" i="1"/>
  <c r="AA168" i="1"/>
  <c r="AB265" i="1"/>
  <c r="AB186" i="1"/>
  <c r="Z248" i="1"/>
  <c r="Z232" i="1"/>
  <c r="AA262" i="1"/>
  <c r="AA150" i="1"/>
  <c r="Z120" i="1"/>
  <c r="AB254" i="1"/>
  <c r="AA134" i="1"/>
  <c r="Z104" i="1"/>
  <c r="Z40" i="1"/>
  <c r="Z343" i="1"/>
  <c r="Z290" i="1"/>
  <c r="Z262" i="1"/>
  <c r="AB333" i="1"/>
  <c r="AA213" i="1"/>
  <c r="AB280" i="1"/>
  <c r="Z130" i="1"/>
  <c r="AA160" i="1"/>
  <c r="Z97" i="1"/>
  <c r="AA127" i="1"/>
  <c r="AB201" i="1"/>
  <c r="AA81" i="1"/>
  <c r="Z260" i="1"/>
  <c r="Z229" i="1"/>
  <c r="Z201" i="1"/>
  <c r="Z98" i="1"/>
  <c r="AA278" i="1"/>
  <c r="AA167" i="1"/>
  <c r="AA136" i="1"/>
  <c r="AA325" i="1"/>
  <c r="Z231" i="1"/>
  <c r="AA261" i="1"/>
  <c r="AB317" i="1"/>
  <c r="AA133" i="1"/>
  <c r="Z103" i="1"/>
  <c r="AB253" i="1"/>
  <c r="Z39" i="1"/>
  <c r="Z342" i="1"/>
  <c r="Z289" i="1"/>
  <c r="Z261" i="1"/>
  <c r="AA212" i="1"/>
  <c r="AB332" i="1"/>
  <c r="AA159" i="1"/>
  <c r="Z50" i="1"/>
  <c r="AB200" i="1"/>
  <c r="AA80" i="1"/>
  <c r="AA79" i="1"/>
  <c r="Z295" i="1"/>
  <c r="Z259" i="1"/>
  <c r="Z228" i="1"/>
  <c r="Z133" i="1"/>
  <c r="AA244" i="1"/>
  <c r="AA88" i="1"/>
  <c r="AA308" i="1"/>
  <c r="AA260" i="1"/>
  <c r="AA180" i="1"/>
  <c r="Z150" i="1"/>
  <c r="AA211" i="1"/>
  <c r="AB331" i="1"/>
  <c r="Z227" i="1"/>
  <c r="AA312" i="1"/>
  <c r="AA243" i="1"/>
  <c r="AA200" i="1"/>
  <c r="AA87" i="1"/>
  <c r="AB328" i="1"/>
  <c r="AA307" i="1"/>
  <c r="AA259" i="1"/>
  <c r="Z149" i="1"/>
  <c r="AB251" i="1"/>
  <c r="AA289" i="1"/>
  <c r="AA210" i="1"/>
  <c r="AB330" i="1"/>
  <c r="Z293" i="1"/>
  <c r="AA311" i="1"/>
  <c r="AA242" i="1"/>
  <c r="AB327" i="1"/>
  <c r="AB289" i="1"/>
  <c r="AB249" i="1"/>
  <c r="AA288" i="1"/>
  <c r="Z225" i="1"/>
  <c r="AB329" i="1"/>
  <c r="AA209" i="1"/>
  <c r="Z179" i="1"/>
  <c r="AB219" i="1"/>
  <c r="Z38" i="1"/>
  <c r="Z123" i="1"/>
  <c r="AA241" i="1"/>
  <c r="AA163" i="1"/>
  <c r="AA120" i="1"/>
  <c r="AB288" i="1"/>
  <c r="AB248" i="1"/>
  <c r="Z310" i="1"/>
  <c r="Z178" i="1"/>
  <c r="AA208" i="1"/>
  <c r="AA207" i="1"/>
  <c r="AA96" i="1"/>
  <c r="AB218" i="1"/>
  <c r="Z68" i="1"/>
  <c r="Z37" i="1"/>
  <c r="Z186" i="1"/>
  <c r="Z119" i="1"/>
  <c r="AA197" i="1"/>
  <c r="AA162" i="1"/>
  <c r="AA84" i="1"/>
  <c r="AB247" i="1"/>
  <c r="Z309" i="1"/>
  <c r="Z145" i="1"/>
  <c r="AB295" i="1"/>
  <c r="AA175" i="1"/>
  <c r="AA95" i="1"/>
  <c r="Z185" i="1"/>
  <c r="Z154" i="1"/>
  <c r="Z54" i="1"/>
  <c r="AA83" i="1"/>
  <c r="AB321" i="1"/>
  <c r="AB208" i="1"/>
  <c r="AA306" i="1"/>
  <c r="Z209" i="1"/>
  <c r="AB298" i="1"/>
  <c r="Z230" i="1"/>
  <c r="Z102" i="1"/>
  <c r="AA132" i="1"/>
  <c r="Z257" i="1"/>
  <c r="AA287" i="1"/>
  <c r="Z129" i="1"/>
  <c r="AB279" i="1"/>
  <c r="AA113" i="1"/>
  <c r="Z341" i="1"/>
  <c r="Z213" i="1"/>
  <c r="AA131" i="1"/>
  <c r="AB235" i="1"/>
  <c r="Z85" i="1"/>
  <c r="AA115" i="1"/>
  <c r="AA112" i="1"/>
  <c r="AA130" i="1"/>
  <c r="Z340" i="1"/>
  <c r="Z212" i="1"/>
  <c r="Z84" i="1"/>
  <c r="AA114" i="1"/>
  <c r="Z337" i="1"/>
  <c r="Z81" i="1"/>
  <c r="Z83" i="1"/>
  <c r="AA129" i="1"/>
  <c r="AB252" i="1"/>
  <c r="AA305" i="1"/>
  <c r="AB297" i="1"/>
  <c r="AA304" i="1"/>
  <c r="AB296" i="1"/>
  <c r="Z49" i="1"/>
  <c r="Z67" i="1"/>
  <c r="AB217" i="1"/>
  <c r="Z305" i="1"/>
  <c r="Z177" i="1"/>
  <c r="AB199" i="1"/>
  <c r="Z321" i="1"/>
  <c r="Z193" i="1"/>
  <c r="Z65" i="1"/>
  <c r="Z66" i="1"/>
  <c r="W258" i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<sst xmlns="http://schemas.openxmlformats.org/spreadsheetml/2006/main" count="32" uniqueCount="32">
  <si>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</si>
  <si>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</si>
  <si>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</si>
  <si>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</si>
  <si>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</si>
  <si>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</si>
  <si>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</si>
  <si>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</si>
  <si>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</si>
  <si>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</si>
  <si>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</si>
  <si>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</si>
  <si>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</si>
  <si>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</si>
  <si>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</si>
  <si>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</si>
  <si>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</si>
  <si>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</si>
  <si>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</si>
  <si>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</si>
  <si>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</si>
  <si>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</si>
  <si>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</si>
  <si>
    <t>NAV-VWAP</t>
  </si>
  <si>
    <t>ABS(N-W)</t>
  </si>
  <si>
    <t>ABS(N-W) 30</t>
  </si>
  <si>
    <t>ABS(N-W) 60</t>
  </si>
  <si>
    <t>ABS(N-W) 180</t>
  </si>
  <si>
    <t>Vol Mediana 30</t>
  </si>
  <si>
    <t>Vol Mediana 60</t>
  </si>
  <si>
    <t>Vol Mediana 180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</si>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</sst>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AE345"/>
  <sheetViews>
    <sheetView tabSelected="1" topLeftCell="O324" zoomScaleNormal="100" workbookViewId="0">
      <selection activeCell="U344" sqref="U344"/>
    </sheetView>
  </sheetViews>
  <sheetFormatPr baseColWidth="10" defaultRowHeight="14.4" x14ac:dyDescent="0.3"/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  <c r="Y2" s="3"/>
      <c r="Z2" s="3"/>
      <c r="AA2" s="3"/>
      <c r="AB2" s="3"/>
    </row>
    <row r="3" spans="1:31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  <c r="X3" s="3">
        <f>B3/U3-1</f>
        <v>-1.1997972241362342E-2</v>
      </c>
      <c r="Y3" s="3">
        <f>ABS(X3)</f>
        <v>1.1997972241362342E-2</v>
      </c>
      <c r="Z3" s="3"/>
      <c r="AA3" s="3"/>
      <c r="AB3" s="3"/>
    </row>
    <row r="4" spans="1:31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  <c r="X4" s="3">
        <f t="shared" ref="X4:X67" si="0">B4/U4-1</f>
        <v>-9.0351256232281685E-3</v>
      </c>
      <c r="Y4" s="3">
        <f t="shared" ref="Y4:Y67" si="1">ABS(X4)</f>
        <v>9.0351256232281685E-3</v>
      </c>
      <c r="Z4" s="3"/>
      <c r="AA4" s="3"/>
      <c r="AB4" s="3"/>
    </row>
    <row r="5" spans="1:31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  <c r="X5" s="3">
        <f t="shared" si="0"/>
        <v>-1.1036527237354044E-2</v>
      </c>
      <c r="Y5" s="3">
        <f t="shared" si="1"/>
        <v>1.1036527237354044E-2</v>
      </c>
      <c r="Z5" s="3"/>
      <c r="AA5" s="3"/>
      <c r="AB5" s="3"/>
    </row>
    <row r="6" spans="1:31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  <c r="X6" s="3">
        <f t="shared" si="0"/>
        <v>-1.3143304704274716E-2</v>
      </c>
      <c r="Y6" s="3">
        <f t="shared" si="1"/>
        <v>1.3143304704274716E-2</v>
      </c>
      <c r="Z6" s="3"/>
      <c r="AA6" s="3"/>
      <c r="AB6" s="3"/>
    </row>
    <row r="7" spans="1:31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  <c r="X7" s="3">
        <f t="shared" si="0"/>
        <v>-1.4288971450919119E-2</v>
      </c>
      <c r="Y7" s="3">
        <f t="shared" si="1"/>
        <v>1.4288971450919119E-2</v>
      </c>
      <c r="Z7" s="3"/>
      <c r="AA7" s="3"/>
      <c r="AB7" s="3"/>
    </row>
    <row r="8" spans="1:31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  <c r="X8" s="3">
        <f t="shared" si="0"/>
        <v>-1.0484229144148594E-2</v>
      </c>
      <c r="Y8" s="3">
        <f t="shared" si="1"/>
        <v>1.0484229144148594E-2</v>
      </c>
      <c r="Z8" s="3"/>
      <c r="AA8" s="3"/>
      <c r="AB8" s="3"/>
    </row>
    <row r="9" spans="1:31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  <c r="X9" s="3">
        <f t="shared" si="0"/>
        <v>-9.4273030838734062E-3</v>
      </c>
      <c r="Y9" s="3">
        <f t="shared" si="1"/>
        <v>9.4273030838734062E-3</v>
      </c>
      <c r="Z9" s="3"/>
      <c r="AA9" s="3"/>
      <c r="AB9" s="3"/>
    </row>
    <row r="10" spans="1:31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  <c r="X10" s="3">
        <f t="shared" si="0"/>
        <v>-1.2431813725490182E-2</v>
      </c>
      <c r="Y10" s="3">
        <f t="shared" si="1"/>
        <v>1.2431813725490182E-2</v>
      </c>
      <c r="Z10" s="3"/>
      <c r="AA10" s="3"/>
      <c r="AB10" s="3"/>
    </row>
    <row r="11" spans="1:31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  <c r="X11" s="3">
        <f t="shared" si="0"/>
        <v>-3.6740412106871512E-3</v>
      </c>
      <c r="Y11" s="3">
        <f t="shared" si="1"/>
        <v>3.6740412106871512E-3</v>
      </c>
      <c r="Z11" s="3"/>
      <c r="AA11" s="3"/>
      <c r="AB11" s="3"/>
    </row>
    <row r="12" spans="1:31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  <c r="X12" s="3">
        <f t="shared" si="0"/>
        <v>-4.390969141279788E-3</v>
      </c>
      <c r="Y12" s="3">
        <f t="shared" si="1"/>
        <v>4.390969141279788E-3</v>
      </c>
      <c r="Z12" s="3"/>
      <c r="AA12" s="3"/>
      <c r="AB12" s="3"/>
    </row>
    <row r="13" spans="1:31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  <c r="X13" s="3">
        <f t="shared" si="0"/>
        <v>-1.0582246199117296E-2</v>
      </c>
      <c r="Y13" s="3">
        <f t="shared" si="1"/>
        <v>1.0582246199117296E-2</v>
      </c>
      <c r="Z13" s="3"/>
      <c r="AA13" s="3"/>
      <c r="AB13" s="3"/>
    </row>
    <row r="14" spans="1:31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  <c r="X14" s="3">
        <f t="shared" si="0"/>
        <v>-3.2668448668449201E-3</v>
      </c>
      <c r="Y14" s="3">
        <f t="shared" si="1"/>
        <v>3.2668448668449201E-3</v>
      </c>
      <c r="Z14" s="3"/>
      <c r="AA14" s="3"/>
      <c r="AB14" s="3"/>
    </row>
    <row r="15" spans="1:31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  <c r="X15" s="3">
        <f t="shared" si="0"/>
        <v>-8.1737900443569211E-3</v>
      </c>
      <c r="Y15" s="3">
        <f t="shared" si="1"/>
        <v>8.1737900443569211E-3</v>
      </c>
      <c r="Z15" s="3"/>
      <c r="AA15" s="3"/>
      <c r="AB15" s="3"/>
    </row>
    <row r="16" spans="1:31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  <c r="X16" s="3">
        <f t="shared" si="0"/>
        <v>-9.7303783783783127E-3</v>
      </c>
      <c r="Y16" s="3">
        <f t="shared" si="1"/>
        <v>9.7303783783783127E-3</v>
      </c>
      <c r="Z16" s="3"/>
      <c r="AA16" s="3"/>
      <c r="AB16" s="3"/>
    </row>
    <row r="17" spans="1:29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  <c r="X17" s="3">
        <f t="shared" si="0"/>
        <v>-6.1102171767029034E-3</v>
      </c>
      <c r="Y17" s="3">
        <f t="shared" si="1"/>
        <v>6.1102171767029034E-3</v>
      </c>
      <c r="Z17" s="3"/>
      <c r="AA17" s="3"/>
      <c r="AB17" s="3"/>
    </row>
    <row r="18" spans="1:29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  <c r="X18" s="3">
        <f t="shared" si="0"/>
        <v>-7.6131252461599797E-3</v>
      </c>
      <c r="Y18" s="3">
        <f t="shared" si="1"/>
        <v>7.6131252461599797E-3</v>
      </c>
      <c r="Z18" s="3"/>
      <c r="AA18" s="3"/>
      <c r="AB18" s="3"/>
    </row>
    <row r="19" spans="1:29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  <c r="X19" s="3">
        <f t="shared" si="0"/>
        <v>6.3317821782171713E-4</v>
      </c>
      <c r="Y19" s="3">
        <f t="shared" si="1"/>
        <v>6.3317821782171713E-4</v>
      </c>
      <c r="Z19" s="3"/>
      <c r="AA19" s="3"/>
      <c r="AB19" s="3"/>
    </row>
    <row r="20" spans="1:29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  <c r="X20" s="3">
        <f t="shared" si="0"/>
        <v>2.1901173685767716E-3</v>
      </c>
      <c r="Y20" s="3">
        <f t="shared" si="1"/>
        <v>2.1901173685767716E-3</v>
      </c>
      <c r="Z20" s="3"/>
      <c r="AA20" s="3"/>
      <c r="AB20" s="3"/>
    </row>
    <row r="21" spans="1:29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  <c r="X21" s="3">
        <f t="shared" si="0"/>
        <v>5.0852132794876326E-5</v>
      </c>
      <c r="Y21" s="3">
        <f t="shared" si="1"/>
        <v>5.0852132794876326E-5</v>
      </c>
      <c r="Z21" s="3"/>
      <c r="AA21" s="3"/>
      <c r="AB21" s="3"/>
    </row>
    <row r="22" spans="1:29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  <c r="X22" s="3">
        <f t="shared" si="0"/>
        <v>-5.2791547911548165E-3</v>
      </c>
      <c r="Y22" s="3">
        <f t="shared" si="1"/>
        <v>5.2791547911548165E-3</v>
      </c>
      <c r="Z22" s="3"/>
      <c r="AA22" s="3"/>
      <c r="AB22" s="3"/>
    </row>
    <row r="23" spans="1:29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  <c r="X23" s="3">
        <f t="shared" si="0"/>
        <v>-1.5232597120883318E-3</v>
      </c>
      <c r="Y23" s="3">
        <f t="shared" si="1"/>
        <v>1.5232597120883318E-3</v>
      </c>
      <c r="Z23" s="3"/>
      <c r="AA23" s="3"/>
      <c r="AB23" s="3"/>
    </row>
    <row r="24" spans="1:29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  <c r="X24" s="3">
        <f t="shared" si="0"/>
        <v>7.5801835586686295E-4</v>
      </c>
      <c r="Y24" s="3">
        <f t="shared" si="1"/>
        <v>7.5801835586686295E-4</v>
      </c>
      <c r="Z24" s="3"/>
      <c r="AA24" s="3"/>
      <c r="AB24" s="3"/>
    </row>
    <row r="25" spans="1:29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  <c r="X25" s="3">
        <f t="shared" si="0"/>
        <v>3.3963605878291059E-3</v>
      </c>
      <c r="Y25" s="3">
        <f t="shared" si="1"/>
        <v>3.3963605878291059E-3</v>
      </c>
      <c r="Z25" s="3"/>
      <c r="AA25" s="3"/>
      <c r="AB25" s="3"/>
    </row>
    <row r="26" spans="1:29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  <c r="X26" s="3">
        <f t="shared" si="0"/>
        <v>-2.6189183893404744E-3</v>
      </c>
      <c r="Y26" s="3">
        <f t="shared" si="1"/>
        <v>2.6189183893404744E-3</v>
      </c>
      <c r="Z26" s="3"/>
      <c r="AA26" s="3"/>
      <c r="AB26" s="3"/>
    </row>
    <row r="27" spans="1:29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  <c r="X27" s="3">
        <f t="shared" si="0"/>
        <v>5.3208431372548937E-3</v>
      </c>
      <c r="Y27" s="3">
        <f t="shared" si="1"/>
        <v>5.3208431372548937E-3</v>
      </c>
      <c r="Z27" s="3"/>
      <c r="AA27" s="3"/>
      <c r="AB27" s="3"/>
    </row>
    <row r="28" spans="1:29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  <c r="X28" s="3">
        <f t="shared" si="0"/>
        <v>3.1022987381394973E-3</v>
      </c>
      <c r="Y28" s="3">
        <f t="shared" si="1"/>
        <v>3.1022987381394973E-3</v>
      </c>
      <c r="Z28" s="3"/>
      <c r="AA28" s="3"/>
      <c r="AB28" s="3"/>
    </row>
    <row r="29" spans="1:29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  <c r="X29" s="3">
        <f t="shared" si="0"/>
        <v>6.2211960784313014E-3</v>
      </c>
      <c r="Y29" s="3">
        <f t="shared" si="1"/>
        <v>6.2211960784313014E-3</v>
      </c>
      <c r="Z29" s="3"/>
      <c r="AA29" s="3"/>
      <c r="AB29" s="3"/>
    </row>
    <row r="30" spans="1:29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  <c r="X30" s="3">
        <f t="shared" si="0"/>
        <v>5.7306905370844152E-3</v>
      </c>
      <c r="Y30" s="3">
        <f t="shared" si="1"/>
        <v>5.7306905370844152E-3</v>
      </c>
      <c r="Z30" s="3"/>
      <c r="AA30" s="3"/>
      <c r="AB30" s="3"/>
    </row>
    <row r="31" spans="1:29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  <c r="X31" s="3">
        <f t="shared" si="0"/>
        <v>-4.8585365853659468E-4</v>
      </c>
      <c r="Y31" s="3">
        <f t="shared" si="1"/>
        <v>4.8585365853659468E-4</v>
      </c>
      <c r="Z31" s="3"/>
      <c r="AA31" s="3"/>
      <c r="AB31" s="3"/>
      <c r="AC31">
        <f>MEDIAN(E2:E31)</f>
        <v>10502.5</v>
      </c>
    </row>
    <row r="32" spans="1:29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  <c r="X32" s="3">
        <f t="shared" si="0"/>
        <v>3.8947616244848771E-3</v>
      </c>
      <c r="Y32" s="3">
        <f t="shared" si="1"/>
        <v>3.8947616244848771E-3</v>
      </c>
      <c r="Z32" s="3">
        <f>AVERAGE(Y3:Y32)</f>
        <v>6.2197454267860792E-3</v>
      </c>
      <c r="AA32" s="3"/>
      <c r="AB32" s="3"/>
      <c r="AC32">
        <f t="shared" ref="AC32:AC95" si="2">MEDIAN(E3:E32)</f>
        <v>9670</v>
      </c>
    </row>
    <row r="33" spans="1:29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  <c r="X33" s="3">
        <f t="shared" si="0"/>
        <v>-3.0499365915521714E-3</v>
      </c>
      <c r="Y33" s="3">
        <f t="shared" si="1"/>
        <v>3.0499365915521714E-3</v>
      </c>
      <c r="Z33" s="3">
        <f t="shared" ref="Z33:Z96" si="3">AVERAGE(Y4:Y33)</f>
        <v>5.9214775717924073E-3</v>
      </c>
      <c r="AA33" s="3"/>
      <c r="AB33" s="3"/>
      <c r="AC33">
        <f t="shared" si="2"/>
        <v>9670</v>
      </c>
    </row>
    <row r="34" spans="1:29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  <c r="X34" s="3">
        <f t="shared" si="0"/>
        <v>-4.7936878048780995E-3</v>
      </c>
      <c r="Y34" s="3">
        <f t="shared" si="1"/>
        <v>4.7936878048780995E-3</v>
      </c>
      <c r="Z34" s="3">
        <f t="shared" si="3"/>
        <v>5.7800963111807376E-3</v>
      </c>
      <c r="AA34" s="3"/>
      <c r="AB34" s="3"/>
      <c r="AC34">
        <f t="shared" si="2"/>
        <v>9670</v>
      </c>
    </row>
    <row r="35" spans="1:29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  <c r="X35" s="3">
        <f t="shared" si="0"/>
        <v>1.6643658920834081E-3</v>
      </c>
      <c r="Y35" s="3">
        <f t="shared" si="1"/>
        <v>1.6643658920834081E-3</v>
      </c>
      <c r="Z35" s="3">
        <f t="shared" si="3"/>
        <v>5.4676909330050498E-3</v>
      </c>
      <c r="AA35" s="3"/>
      <c r="AB35" s="3"/>
      <c r="AC35">
        <f t="shared" si="2"/>
        <v>9151.625</v>
      </c>
    </row>
    <row r="36" spans="1:29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  <c r="X36" s="3">
        <f t="shared" si="0"/>
        <v>-8.0794243902438945E-3</v>
      </c>
      <c r="Y36" s="3">
        <f t="shared" si="1"/>
        <v>8.0794243902438945E-3</v>
      </c>
      <c r="Z36" s="3">
        <f t="shared" si="3"/>
        <v>5.2988949225373557E-3</v>
      </c>
      <c r="AA36" s="3"/>
      <c r="AB36" s="3"/>
      <c r="AC36">
        <f t="shared" si="2"/>
        <v>8644.5</v>
      </c>
    </row>
    <row r="37" spans="1:29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  <c r="X37" s="3">
        <f t="shared" si="0"/>
        <v>3.1078869341767401E-3</v>
      </c>
      <c r="Y37" s="3">
        <f t="shared" si="1"/>
        <v>3.1078869341767401E-3</v>
      </c>
      <c r="Z37" s="3">
        <f t="shared" si="3"/>
        <v>4.9261921053126104E-3</v>
      </c>
      <c r="AA37" s="3"/>
      <c r="AB37" s="3"/>
      <c r="AC37">
        <f t="shared" si="2"/>
        <v>7933</v>
      </c>
    </row>
    <row r="38" spans="1:29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  <c r="X38" s="3">
        <f t="shared" si="0"/>
        <v>1.9137992125985992E-3</v>
      </c>
      <c r="Y38" s="3">
        <f t="shared" si="1"/>
        <v>1.9137992125985992E-3</v>
      </c>
      <c r="Z38" s="3">
        <f t="shared" si="3"/>
        <v>4.6405111075942772E-3</v>
      </c>
      <c r="AA38" s="3"/>
      <c r="AB38" s="3"/>
      <c r="AC38">
        <f t="shared" si="2"/>
        <v>7933</v>
      </c>
    </row>
    <row r="39" spans="1:29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  <c r="X39" s="3">
        <f t="shared" si="0"/>
        <v>5.2136905348172391E-3</v>
      </c>
      <c r="Y39" s="3">
        <f t="shared" si="1"/>
        <v>5.2136905348172391E-3</v>
      </c>
      <c r="Z39" s="3">
        <f t="shared" si="3"/>
        <v>4.5000573559590713E-3</v>
      </c>
      <c r="AA39" s="3"/>
      <c r="AB39" s="3"/>
      <c r="AC39">
        <f t="shared" si="2"/>
        <v>7645.5</v>
      </c>
    </row>
    <row r="40" spans="1:29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  <c r="X40" s="3">
        <f t="shared" si="0"/>
        <v>-2.7788875832357451E-4</v>
      </c>
      <c r="Y40" s="3">
        <f t="shared" si="1"/>
        <v>2.7788875832357451E-4</v>
      </c>
      <c r="Z40" s="3">
        <f t="shared" si="3"/>
        <v>4.0949265237201849E-3</v>
      </c>
      <c r="AA40" s="3"/>
      <c r="AB40" s="3"/>
      <c r="AC40">
        <f t="shared" si="2"/>
        <v>7645.5</v>
      </c>
    </row>
    <row r="41" spans="1:29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  <c r="X41" s="3">
        <f t="shared" si="0"/>
        <v>1.2209108910891109E-2</v>
      </c>
      <c r="Y41" s="3">
        <f t="shared" si="1"/>
        <v>1.2209108910891109E-2</v>
      </c>
      <c r="Z41" s="3">
        <f t="shared" si="3"/>
        <v>4.3794287803936493E-3</v>
      </c>
      <c r="AA41" s="3"/>
      <c r="AB41" s="3"/>
      <c r="AC41">
        <f t="shared" si="2"/>
        <v>7645.5</v>
      </c>
    </row>
    <row r="42" spans="1:29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  <c r="X42" s="3">
        <f t="shared" si="0"/>
        <v>-4.5985268292683124E-3</v>
      </c>
      <c r="Y42" s="3">
        <f t="shared" si="1"/>
        <v>4.5985268292683124E-3</v>
      </c>
      <c r="Z42" s="3">
        <f t="shared" si="3"/>
        <v>4.3863473699932674E-3</v>
      </c>
      <c r="AA42" s="3"/>
      <c r="AB42" s="3"/>
      <c r="AC42">
        <f t="shared" si="2"/>
        <v>7498.4</v>
      </c>
    </row>
    <row r="43" spans="1:29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  <c r="X43" s="3">
        <f t="shared" si="0"/>
        <v>-5.5068975609756654E-3</v>
      </c>
      <c r="Y43" s="3">
        <f t="shared" si="1"/>
        <v>5.5068975609756654E-3</v>
      </c>
      <c r="Z43" s="3">
        <f t="shared" si="3"/>
        <v>4.2171690820552131E-3</v>
      </c>
      <c r="AA43" s="3"/>
      <c r="AB43" s="3"/>
      <c r="AC43">
        <f t="shared" si="2"/>
        <v>7498.4</v>
      </c>
    </row>
    <row r="44" spans="1:29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  <c r="X44" s="3">
        <f t="shared" si="0"/>
        <v>1.6349047338439782E-3</v>
      </c>
      <c r="Y44" s="3">
        <f t="shared" si="1"/>
        <v>1.6349047338439782E-3</v>
      </c>
      <c r="Z44" s="3">
        <f t="shared" si="3"/>
        <v>4.1627710776218482E-3</v>
      </c>
      <c r="AA44" s="3"/>
      <c r="AB44" s="3"/>
      <c r="AC44">
        <f t="shared" si="2"/>
        <v>7645.5</v>
      </c>
    </row>
    <row r="45" spans="1:29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  <c r="X45" s="3">
        <f t="shared" si="0"/>
        <v>1.3350064350064361E-2</v>
      </c>
      <c r="Y45" s="3">
        <f t="shared" si="1"/>
        <v>1.3350064350064361E-2</v>
      </c>
      <c r="Z45" s="3">
        <f t="shared" si="3"/>
        <v>4.3353135544787627E-3</v>
      </c>
      <c r="AA45" s="3"/>
      <c r="AB45" s="3"/>
      <c r="AC45">
        <f t="shared" si="2"/>
        <v>7498.4</v>
      </c>
    </row>
    <row r="46" spans="1:29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  <c r="X46" s="3">
        <f t="shared" si="0"/>
        <v>1.3351294771306588E-2</v>
      </c>
      <c r="Y46" s="3">
        <f t="shared" si="1"/>
        <v>1.3351294771306588E-2</v>
      </c>
      <c r="Z46" s="3">
        <f t="shared" si="3"/>
        <v>4.4560107675763721E-3</v>
      </c>
      <c r="AA46" s="3"/>
      <c r="AB46" s="3"/>
      <c r="AC46">
        <f t="shared" si="2"/>
        <v>7498.4</v>
      </c>
    </row>
    <row r="47" spans="1:29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  <c r="X47" s="3">
        <f t="shared" si="0"/>
        <v>7.1330392156854217E-4</v>
      </c>
      <c r="Y47" s="3">
        <f t="shared" si="1"/>
        <v>7.1330392156854217E-4</v>
      </c>
      <c r="Z47" s="3">
        <f t="shared" si="3"/>
        <v>4.2761136590718932E-3</v>
      </c>
      <c r="AA47" s="3"/>
      <c r="AB47" s="3"/>
      <c r="AC47">
        <f t="shared" si="2"/>
        <v>7293.4</v>
      </c>
    </row>
    <row r="48" spans="1:29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  <c r="X48" s="3">
        <f t="shared" si="0"/>
        <v>1.7697093081134874E-2</v>
      </c>
      <c r="Y48" s="3">
        <f t="shared" si="1"/>
        <v>1.7697093081134874E-2</v>
      </c>
      <c r="Z48" s="3">
        <f t="shared" si="3"/>
        <v>4.6122459202377229E-3</v>
      </c>
      <c r="AA48" s="3"/>
      <c r="AB48" s="3"/>
      <c r="AC48">
        <f t="shared" si="2"/>
        <v>7134.1</v>
      </c>
    </row>
    <row r="49" spans="1:30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  <c r="X49" s="3">
        <f t="shared" si="0"/>
        <v>6.2710938269174843E-3</v>
      </c>
      <c r="Y49" s="3">
        <f t="shared" si="1"/>
        <v>6.2710938269174843E-3</v>
      </c>
      <c r="Z49" s="3">
        <f t="shared" si="3"/>
        <v>4.8001764405409151E-3</v>
      </c>
      <c r="AA49" s="3"/>
      <c r="AB49" s="3"/>
      <c r="AC49">
        <f t="shared" si="2"/>
        <v>7293.4</v>
      </c>
    </row>
    <row r="50" spans="1:30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  <c r="X50" s="3">
        <f t="shared" si="0"/>
        <v>1.5012426614480212E-3</v>
      </c>
      <c r="Y50" s="3">
        <f t="shared" si="1"/>
        <v>1.5012426614480212E-3</v>
      </c>
      <c r="Z50" s="3">
        <f t="shared" si="3"/>
        <v>4.7772139503032907E-3</v>
      </c>
      <c r="AA50" s="3"/>
      <c r="AB50" s="3"/>
      <c r="AC50">
        <f t="shared" si="2"/>
        <v>7134.1</v>
      </c>
    </row>
    <row r="51" spans="1:30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  <c r="X51" s="3">
        <f t="shared" si="0"/>
        <v>2.1263627363627302E-2</v>
      </c>
      <c r="Y51" s="3">
        <f t="shared" si="1"/>
        <v>2.1263627363627302E-2</v>
      </c>
      <c r="Z51" s="3">
        <f t="shared" si="3"/>
        <v>5.4843064579977044E-3</v>
      </c>
      <c r="AA51" s="3"/>
      <c r="AB51" s="3"/>
      <c r="AC51">
        <f t="shared" si="2"/>
        <v>7134.1</v>
      </c>
    </row>
    <row r="52" spans="1:30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  <c r="X52" s="3">
        <f t="shared" si="0"/>
        <v>8.2330626223092729E-3</v>
      </c>
      <c r="Y52" s="3">
        <f t="shared" si="1"/>
        <v>8.2330626223092729E-3</v>
      </c>
      <c r="Z52" s="3">
        <f t="shared" si="3"/>
        <v>5.5827700523695201E-3</v>
      </c>
      <c r="AA52" s="3"/>
      <c r="AB52" s="3"/>
      <c r="AC52">
        <f t="shared" si="2"/>
        <v>7134.1</v>
      </c>
    </row>
    <row r="53" spans="1:30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  <c r="X53" s="3">
        <f t="shared" si="0"/>
        <v>4.8473961380923747E-3</v>
      </c>
      <c r="Y53" s="3">
        <f t="shared" si="1"/>
        <v>4.8473961380923747E-3</v>
      </c>
      <c r="Z53" s="3">
        <f t="shared" si="3"/>
        <v>5.6935745999029874E-3</v>
      </c>
      <c r="AA53" s="3"/>
      <c r="AB53" s="3"/>
      <c r="AC53">
        <f t="shared" si="2"/>
        <v>7293.4</v>
      </c>
    </row>
    <row r="54" spans="1:30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  <c r="X54" s="3">
        <f t="shared" si="0"/>
        <v>1.773298124383027E-2</v>
      </c>
      <c r="Y54" s="3">
        <f t="shared" si="1"/>
        <v>1.773298124383027E-2</v>
      </c>
      <c r="Z54" s="3">
        <f t="shared" si="3"/>
        <v>6.2594066961684349E-3</v>
      </c>
      <c r="AA54" s="3"/>
      <c r="AB54" s="3"/>
      <c r="AC54">
        <f t="shared" si="2"/>
        <v>7293.4</v>
      </c>
    </row>
    <row r="55" spans="1:30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  <c r="X55" s="3">
        <f t="shared" si="0"/>
        <v>-4.6040309328178042E-3</v>
      </c>
      <c r="Y55" s="3">
        <f t="shared" si="1"/>
        <v>4.6040309328178042E-3</v>
      </c>
      <c r="Z55" s="3">
        <f t="shared" si="3"/>
        <v>6.2996623743347248E-3</v>
      </c>
      <c r="AA55" s="3"/>
      <c r="AB55" s="3"/>
      <c r="AC55">
        <f t="shared" si="2"/>
        <v>7293.4</v>
      </c>
    </row>
    <row r="56" spans="1:30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  <c r="X56" s="3">
        <f t="shared" si="0"/>
        <v>1.673155349388078E-2</v>
      </c>
      <c r="Y56" s="3">
        <f t="shared" si="1"/>
        <v>1.673155349388078E-2</v>
      </c>
      <c r="Z56" s="3">
        <f t="shared" si="3"/>
        <v>6.7700835444860679E-3</v>
      </c>
      <c r="AA56" s="3"/>
      <c r="AB56" s="3"/>
      <c r="AC56">
        <f t="shared" si="2"/>
        <v>7454.7749999999996</v>
      </c>
    </row>
    <row r="57" spans="1:30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  <c r="X57" s="3">
        <f t="shared" si="0"/>
        <v>-1.7886004842615488E-3</v>
      </c>
      <c r="Y57" s="3">
        <f t="shared" si="1"/>
        <v>1.7886004842615488E-3</v>
      </c>
      <c r="Z57" s="3">
        <f t="shared" si="3"/>
        <v>6.652342122719623E-3</v>
      </c>
      <c r="AA57" s="3"/>
      <c r="AB57" s="3"/>
      <c r="AC57">
        <f t="shared" si="2"/>
        <v>7293.4</v>
      </c>
    </row>
    <row r="58" spans="1:30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  <c r="X58" s="3">
        <f t="shared" si="0"/>
        <v>1.6418922379826562E-2</v>
      </c>
      <c r="Y58" s="3">
        <f t="shared" si="1"/>
        <v>1.6418922379826562E-2</v>
      </c>
      <c r="Z58" s="3">
        <f t="shared" si="3"/>
        <v>7.0962295774425251E-3</v>
      </c>
      <c r="AA58" s="3"/>
      <c r="AB58" s="3"/>
      <c r="AC58">
        <f t="shared" si="2"/>
        <v>7310.0249999999996</v>
      </c>
    </row>
    <row r="59" spans="1:30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  <c r="X59" s="3">
        <f t="shared" si="0"/>
        <v>1.1040096852301673E-3</v>
      </c>
      <c r="Y59" s="3">
        <f t="shared" si="1"/>
        <v>1.1040096852301673E-3</v>
      </c>
      <c r="Z59" s="3">
        <f t="shared" si="3"/>
        <v>6.9256566976691547E-3</v>
      </c>
      <c r="AA59" s="3"/>
      <c r="AB59" s="3"/>
      <c r="AC59">
        <f t="shared" si="2"/>
        <v>7310.0249999999996</v>
      </c>
    </row>
    <row r="60" spans="1:30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  <c r="X60" s="3">
        <f t="shared" si="0"/>
        <v>2.1489182266009932E-2</v>
      </c>
      <c r="Y60" s="3">
        <f t="shared" si="1"/>
        <v>2.1489182266009932E-2</v>
      </c>
      <c r="Z60" s="3">
        <f t="shared" si="3"/>
        <v>7.450939755300005E-3</v>
      </c>
      <c r="AA60" s="3"/>
      <c r="AB60" s="3"/>
      <c r="AC60">
        <f t="shared" si="2"/>
        <v>7310.0249999999996</v>
      </c>
    </row>
    <row r="61" spans="1:30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  <c r="X61" s="3">
        <f t="shared" si="0"/>
        <v>7.9845533980582584E-3</v>
      </c>
      <c r="Y61" s="3">
        <f t="shared" si="1"/>
        <v>7.9845533980582584E-3</v>
      </c>
      <c r="Z61" s="3">
        <f t="shared" si="3"/>
        <v>7.7008964132840602E-3</v>
      </c>
      <c r="AA61" s="3"/>
      <c r="AB61" s="3"/>
      <c r="AC61">
        <f t="shared" si="2"/>
        <v>7191.625</v>
      </c>
      <c r="AD61">
        <f>MEDIAN(E2:E61)</f>
        <v>7645.5</v>
      </c>
    </row>
    <row r="62" spans="1:30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  <c r="X62" s="3">
        <f t="shared" si="0"/>
        <v>-1.5829711538462021E-3</v>
      </c>
      <c r="Y62" s="3">
        <f t="shared" si="1"/>
        <v>1.5829711538462021E-3</v>
      </c>
      <c r="Z62" s="3">
        <f t="shared" si="3"/>
        <v>7.6238367309294378E-3</v>
      </c>
      <c r="AA62" s="3">
        <f>AVERAGE(Y3:Y62)</f>
        <v>6.9217910788577589E-3</v>
      </c>
      <c r="AB62" s="3"/>
      <c r="AC62">
        <f t="shared" si="2"/>
        <v>6920.8600000000006</v>
      </c>
      <c r="AD62">
        <f t="shared" ref="AD62:AD125" si="4">MEDIAN(E3:E62)</f>
        <v>7541.375</v>
      </c>
    </row>
    <row r="63" spans="1:30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  <c r="X63" s="3">
        <f t="shared" si="0"/>
        <v>7.4077884615375567E-4</v>
      </c>
      <c r="Y63" s="3">
        <f t="shared" si="1"/>
        <v>7.4077884615375567E-4</v>
      </c>
      <c r="Z63" s="3">
        <f t="shared" si="3"/>
        <v>7.5468648060828241E-3</v>
      </c>
      <c r="AA63" s="3">
        <f t="shared" ref="AA63:AA126" si="5">AVERAGE(Y4:Y63)</f>
        <v>6.7341711889376153E-3</v>
      </c>
      <c r="AB63" s="3"/>
      <c r="AC63">
        <f t="shared" si="2"/>
        <v>6920.8600000000006</v>
      </c>
      <c r="AD63">
        <f t="shared" si="4"/>
        <v>7541.375</v>
      </c>
    </row>
    <row r="64" spans="1:30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  <c r="X64" s="3">
        <f t="shared" si="0"/>
        <v>1.074724220624379E-4</v>
      </c>
      <c r="Y64" s="3">
        <f t="shared" si="1"/>
        <v>1.074724220624379E-4</v>
      </c>
      <c r="Z64" s="3">
        <f t="shared" si="3"/>
        <v>7.3906576266556355E-3</v>
      </c>
      <c r="AA64" s="3">
        <f t="shared" si="5"/>
        <v>6.5853769689181866E-3</v>
      </c>
      <c r="AB64" s="3"/>
      <c r="AC64">
        <f t="shared" si="2"/>
        <v>6652.2350000000006</v>
      </c>
      <c r="AD64">
        <f t="shared" si="4"/>
        <v>7454.7749999999996</v>
      </c>
    </row>
    <row r="65" spans="1:30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  <c r="X65" s="3">
        <f t="shared" si="0"/>
        <v>1.4201151079136221E-3</v>
      </c>
      <c r="Y65" s="3">
        <f t="shared" si="1"/>
        <v>1.4201151079136221E-3</v>
      </c>
      <c r="Z65" s="3">
        <f t="shared" si="3"/>
        <v>7.3825159338499757E-3</v>
      </c>
      <c r="AA65" s="3">
        <f t="shared" si="5"/>
        <v>6.4251034334275132E-3</v>
      </c>
      <c r="AB65" s="3"/>
      <c r="AC65">
        <f t="shared" si="2"/>
        <v>6652.2350000000006</v>
      </c>
      <c r="AD65">
        <f t="shared" si="4"/>
        <v>7310.0249999999996</v>
      </c>
    </row>
    <row r="66" spans="1:30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  <c r="X66" s="3">
        <f t="shared" si="0"/>
        <v>1.1324922450562269E-2</v>
      </c>
      <c r="Y66" s="3">
        <f t="shared" si="1"/>
        <v>1.1324922450562269E-2</v>
      </c>
      <c r="Z66" s="3">
        <f t="shared" si="3"/>
        <v>7.4906992025272545E-3</v>
      </c>
      <c r="AA66" s="3">
        <f t="shared" si="5"/>
        <v>6.3947970625323055E-3</v>
      </c>
      <c r="AB66" s="3"/>
      <c r="AC66">
        <f t="shared" si="2"/>
        <v>6652.2350000000006</v>
      </c>
      <c r="AD66">
        <f t="shared" si="4"/>
        <v>7310.0249999999996</v>
      </c>
    </row>
    <row r="67" spans="1:30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  <c r="X67" s="3">
        <f t="shared" si="0"/>
        <v>-7.7023923444974329E-4</v>
      </c>
      <c r="Y67" s="3">
        <f t="shared" si="1"/>
        <v>7.7023923444974329E-4</v>
      </c>
      <c r="Z67" s="3">
        <f t="shared" si="3"/>
        <v>7.4127776125363547E-3</v>
      </c>
      <c r="AA67" s="3">
        <f t="shared" si="5"/>
        <v>6.1694848589244821E-3</v>
      </c>
      <c r="AB67" s="3"/>
      <c r="AC67">
        <f t="shared" si="2"/>
        <v>6652.2350000000006</v>
      </c>
      <c r="AD67">
        <f t="shared" si="4"/>
        <v>7191.625</v>
      </c>
    </row>
    <row r="68" spans="1:30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  <c r="X68" s="3">
        <f t="shared" ref="X68:X131" si="6">B68/U68-1</f>
        <v>1.5470841849148487E-2</v>
      </c>
      <c r="Y68" s="3">
        <f t="shared" ref="Y68:Y131" si="7">ABS(X68)</f>
        <v>1.5470841849148487E-2</v>
      </c>
      <c r="Z68" s="3">
        <f t="shared" si="3"/>
        <v>7.8646790337546842E-3</v>
      </c>
      <c r="AA68" s="3">
        <f t="shared" si="5"/>
        <v>6.2525950706744807E-3</v>
      </c>
      <c r="AB68" s="3"/>
      <c r="AC68">
        <f t="shared" si="2"/>
        <v>6652.2350000000006</v>
      </c>
      <c r="AD68">
        <f t="shared" si="4"/>
        <v>7134.1</v>
      </c>
    </row>
    <row r="69" spans="1:30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  <c r="X69" s="3">
        <f t="shared" si="6"/>
        <v>-9.9335885167473048E-4</v>
      </c>
      <c r="Y69" s="3">
        <f t="shared" si="7"/>
        <v>9.9335885167473048E-4</v>
      </c>
      <c r="Z69" s="3">
        <f t="shared" si="3"/>
        <v>7.7240013109832672E-3</v>
      </c>
      <c r="AA69" s="3">
        <f t="shared" si="5"/>
        <v>6.1120293334711697E-3</v>
      </c>
      <c r="AB69" s="3"/>
      <c r="AC69">
        <f t="shared" si="2"/>
        <v>6652.2350000000006</v>
      </c>
      <c r="AD69">
        <f t="shared" si="4"/>
        <v>7040.1</v>
      </c>
    </row>
    <row r="70" spans="1:30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  <c r="X70" s="3">
        <f t="shared" si="6"/>
        <v>1.8070322078427736E-2</v>
      </c>
      <c r="Y70" s="3">
        <f t="shared" si="7"/>
        <v>1.8070322078427736E-2</v>
      </c>
      <c r="Z70" s="3">
        <f t="shared" si="3"/>
        <v>8.3170824216534066E-3</v>
      </c>
      <c r="AA70" s="3">
        <f t="shared" si="5"/>
        <v>6.2060044726867953E-3</v>
      </c>
      <c r="AB70" s="3"/>
      <c r="AC70">
        <f t="shared" si="2"/>
        <v>6625.6100000000006</v>
      </c>
      <c r="AD70">
        <f t="shared" si="4"/>
        <v>7040.1</v>
      </c>
    </row>
    <row r="71" spans="1:30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  <c r="X71" s="3">
        <f t="shared" si="6"/>
        <v>8.9025837320577672E-4</v>
      </c>
      <c r="Y71" s="3">
        <f t="shared" si="7"/>
        <v>8.9025837320577672E-4</v>
      </c>
      <c r="Z71" s="3">
        <f t="shared" si="3"/>
        <v>7.9397874037305614E-3</v>
      </c>
      <c r="AA71" s="3">
        <f t="shared" si="5"/>
        <v>6.1596080920621058E-3</v>
      </c>
      <c r="AB71" s="3"/>
      <c r="AC71">
        <f t="shared" si="2"/>
        <v>6625.6100000000006</v>
      </c>
      <c r="AD71">
        <f t="shared" si="4"/>
        <v>7040.1</v>
      </c>
    </row>
    <row r="72" spans="1:30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  <c r="X72" s="3">
        <f t="shared" si="6"/>
        <v>1.3808572536850194E-2</v>
      </c>
      <c r="Y72" s="3">
        <f t="shared" si="7"/>
        <v>1.3808572536850194E-2</v>
      </c>
      <c r="Z72" s="3">
        <f t="shared" si="3"/>
        <v>8.2467889273166242E-3</v>
      </c>
      <c r="AA72" s="3">
        <f t="shared" si="5"/>
        <v>6.3165681486549458E-3</v>
      </c>
      <c r="AB72" s="3"/>
      <c r="AC72">
        <f t="shared" si="2"/>
        <v>6584</v>
      </c>
      <c r="AD72">
        <f t="shared" si="4"/>
        <v>6942</v>
      </c>
    </row>
    <row r="73" spans="1:30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  <c r="X73" s="3">
        <f t="shared" si="6"/>
        <v>1.2839815980629554E-2</v>
      </c>
      <c r="Y73" s="3">
        <f t="shared" si="7"/>
        <v>1.2839815980629554E-2</v>
      </c>
      <c r="Z73" s="3">
        <f t="shared" si="3"/>
        <v>8.4912195413050871E-3</v>
      </c>
      <c r="AA73" s="3">
        <f t="shared" si="5"/>
        <v>6.3541943116801501E-3</v>
      </c>
      <c r="AB73" s="3"/>
      <c r="AC73">
        <f t="shared" si="2"/>
        <v>6584</v>
      </c>
      <c r="AD73">
        <f t="shared" si="4"/>
        <v>6942</v>
      </c>
    </row>
    <row r="74" spans="1:30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  <c r="X74" s="3">
        <f t="shared" si="6"/>
        <v>-2.1085621352722184E-3</v>
      </c>
      <c r="Y74" s="3">
        <f t="shared" si="7"/>
        <v>2.1085621352722184E-3</v>
      </c>
      <c r="Z74" s="3">
        <f t="shared" si="3"/>
        <v>8.5070081213526952E-3</v>
      </c>
      <c r="AA74" s="3">
        <f t="shared" si="5"/>
        <v>6.3348895994872721E-3</v>
      </c>
      <c r="AB74" s="3"/>
      <c r="AC74">
        <f t="shared" si="2"/>
        <v>6584</v>
      </c>
      <c r="AD74">
        <f t="shared" si="4"/>
        <v>7040.1</v>
      </c>
    </row>
    <row r="75" spans="1:30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  <c r="X75" s="3">
        <f t="shared" si="6"/>
        <v>-5.1831026252983081E-3</v>
      </c>
      <c r="Y75" s="3">
        <f t="shared" si="7"/>
        <v>5.1831026252983081E-3</v>
      </c>
      <c r="Z75" s="3">
        <f t="shared" si="3"/>
        <v>8.2347760638604942E-3</v>
      </c>
      <c r="AA75" s="3">
        <f t="shared" si="5"/>
        <v>6.2850448091696281E-3</v>
      </c>
      <c r="AB75" s="3"/>
      <c r="AC75">
        <f t="shared" si="2"/>
        <v>6488.5</v>
      </c>
      <c r="AD75">
        <f t="shared" si="4"/>
        <v>6942</v>
      </c>
    </row>
    <row r="76" spans="1:30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  <c r="X76" s="3">
        <f t="shared" si="6"/>
        <v>5.6953811962507928E-3</v>
      </c>
      <c r="Y76" s="3">
        <f t="shared" si="7"/>
        <v>5.6953811962507928E-3</v>
      </c>
      <c r="Z76" s="3">
        <f t="shared" si="3"/>
        <v>7.9795789446919681E-3</v>
      </c>
      <c r="AA76" s="3">
        <f t="shared" si="5"/>
        <v>6.2177948561341701E-3</v>
      </c>
      <c r="AB76" s="3"/>
      <c r="AC76">
        <f t="shared" si="2"/>
        <v>6488.5</v>
      </c>
      <c r="AD76">
        <f t="shared" si="4"/>
        <v>6942</v>
      </c>
    </row>
    <row r="77" spans="1:30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  <c r="X77" s="3">
        <f t="shared" si="6"/>
        <v>-7.6086014319808326E-3</v>
      </c>
      <c r="Y77" s="3">
        <f t="shared" si="7"/>
        <v>7.6086014319808326E-3</v>
      </c>
      <c r="Z77" s="3">
        <f t="shared" si="3"/>
        <v>8.2094221950390431E-3</v>
      </c>
      <c r="AA77" s="3">
        <f t="shared" si="5"/>
        <v>6.2427679270554686E-3</v>
      </c>
      <c r="AB77" s="3"/>
      <c r="AC77">
        <f t="shared" si="2"/>
        <v>6584</v>
      </c>
      <c r="AD77">
        <f t="shared" si="4"/>
        <v>6852.875</v>
      </c>
    </row>
    <row r="78" spans="1:30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  <c r="X78" s="3">
        <f t="shared" si="6"/>
        <v>-5.8203915990453492E-3</v>
      </c>
      <c r="Y78" s="3">
        <f t="shared" si="7"/>
        <v>5.8203915990453492E-3</v>
      </c>
      <c r="Z78" s="3">
        <f t="shared" si="3"/>
        <v>7.8135321456360603E-3</v>
      </c>
      <c r="AA78" s="3">
        <f t="shared" si="5"/>
        <v>6.2128890329368911E-3</v>
      </c>
      <c r="AB78" s="3"/>
      <c r="AC78">
        <f t="shared" si="2"/>
        <v>6584</v>
      </c>
      <c r="AD78">
        <f t="shared" si="4"/>
        <v>6737.7350000000006</v>
      </c>
    </row>
    <row r="79" spans="1:30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  <c r="X79" s="3">
        <f t="shared" si="6"/>
        <v>9.7282646660212801E-3</v>
      </c>
      <c r="Y79" s="3">
        <f t="shared" si="7"/>
        <v>9.7282646660212801E-3</v>
      </c>
      <c r="Z79" s="3">
        <f t="shared" si="3"/>
        <v>7.9287711736061861E-3</v>
      </c>
      <c r="AA79" s="3">
        <f t="shared" si="5"/>
        <v>6.3644738070735511E-3</v>
      </c>
      <c r="AB79" s="3"/>
      <c r="AC79">
        <f t="shared" si="2"/>
        <v>6495.5</v>
      </c>
      <c r="AD79">
        <f t="shared" si="4"/>
        <v>6737.7350000000006</v>
      </c>
    </row>
    <row r="80" spans="1:30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  <c r="X80" s="3">
        <f t="shared" si="6"/>
        <v>8.6861492652745564E-3</v>
      </c>
      <c r="Y80" s="3">
        <f t="shared" si="7"/>
        <v>8.6861492652745564E-3</v>
      </c>
      <c r="Z80" s="3">
        <f t="shared" si="3"/>
        <v>8.1682680604004045E-3</v>
      </c>
      <c r="AA80" s="3">
        <f t="shared" si="5"/>
        <v>6.4727410053518472E-3</v>
      </c>
      <c r="AB80" s="3"/>
      <c r="AC80">
        <f t="shared" si="2"/>
        <v>6584</v>
      </c>
      <c r="AD80">
        <f t="shared" si="4"/>
        <v>6737.7350000000006</v>
      </c>
    </row>
    <row r="81" spans="1:30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  <c r="X81" s="3">
        <f t="shared" si="6"/>
        <v>1.5122313773035856E-2</v>
      </c>
      <c r="Y81" s="3">
        <f t="shared" si="7"/>
        <v>1.5122313773035856E-2</v>
      </c>
      <c r="Z81" s="3">
        <f t="shared" si="3"/>
        <v>7.9635576073806887E-3</v>
      </c>
      <c r="AA81" s="3">
        <f t="shared" si="5"/>
        <v>6.723932032689197E-3</v>
      </c>
      <c r="AB81" s="3"/>
      <c r="AC81">
        <f t="shared" si="2"/>
        <v>6584</v>
      </c>
      <c r="AD81">
        <f t="shared" si="4"/>
        <v>6737.7350000000006</v>
      </c>
    </row>
    <row r="82" spans="1:30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  <c r="X82" s="3">
        <f t="shared" si="6"/>
        <v>1.71701238603299E-2</v>
      </c>
      <c r="Y82" s="3">
        <f t="shared" si="7"/>
        <v>1.71701238603299E-2</v>
      </c>
      <c r="Z82" s="3">
        <f t="shared" si="3"/>
        <v>8.2614596486480438E-3</v>
      </c>
      <c r="AA82" s="3">
        <f t="shared" si="5"/>
        <v>6.9221148505087815E-3</v>
      </c>
      <c r="AB82" s="3"/>
      <c r="AC82">
        <f t="shared" si="2"/>
        <v>6584</v>
      </c>
      <c r="AD82">
        <f t="shared" si="4"/>
        <v>6737.7350000000006</v>
      </c>
    </row>
    <row r="83" spans="1:30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  <c r="X83" s="3">
        <f t="shared" si="6"/>
        <v>1.6609007761715366E-2</v>
      </c>
      <c r="Y83" s="3">
        <f t="shared" si="7"/>
        <v>1.6609007761715366E-2</v>
      </c>
      <c r="Z83" s="3">
        <f t="shared" si="3"/>
        <v>8.6535133694354768E-3</v>
      </c>
      <c r="AA83" s="3">
        <f t="shared" si="5"/>
        <v>7.1735439846692317E-3</v>
      </c>
      <c r="AB83" s="3"/>
      <c r="AC83">
        <f t="shared" si="2"/>
        <v>6584</v>
      </c>
      <c r="AD83">
        <f t="shared" si="4"/>
        <v>6852.875</v>
      </c>
    </row>
    <row r="84" spans="1:30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  <c r="X84" s="3">
        <f t="shared" si="6"/>
        <v>4.787661957040612E-3</v>
      </c>
      <c r="Y84" s="3">
        <f t="shared" si="7"/>
        <v>4.787661957040612E-3</v>
      </c>
      <c r="Z84" s="3">
        <f t="shared" si="3"/>
        <v>8.2220027265424885E-3</v>
      </c>
      <c r="AA84" s="3">
        <f t="shared" si="5"/>
        <v>7.2407047113554612E-3</v>
      </c>
      <c r="AB84" s="3"/>
      <c r="AC84">
        <f t="shared" si="2"/>
        <v>6495.5</v>
      </c>
      <c r="AD84">
        <f t="shared" si="4"/>
        <v>6737.7350000000006</v>
      </c>
    </row>
    <row r="85" spans="1:30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  <c r="X85" s="3">
        <f t="shared" si="6"/>
        <v>2.0234624697336612E-2</v>
      </c>
      <c r="Y85" s="3">
        <f t="shared" si="7"/>
        <v>2.0234624697336612E-2</v>
      </c>
      <c r="Z85" s="3">
        <f t="shared" si="3"/>
        <v>8.7430225186931141E-3</v>
      </c>
      <c r="AA85" s="3">
        <f t="shared" si="5"/>
        <v>7.5213424465139199E-3</v>
      </c>
      <c r="AB85" s="3"/>
      <c r="AC85">
        <f t="shared" si="2"/>
        <v>6495.5</v>
      </c>
      <c r="AD85">
        <f t="shared" si="4"/>
        <v>6737.7350000000006</v>
      </c>
    </row>
    <row r="86" spans="1:30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  <c r="X86" s="3">
        <f t="shared" si="6"/>
        <v>7.2256446438800914E-3</v>
      </c>
      <c r="Y86" s="3">
        <f t="shared" si="7"/>
        <v>7.2256446438800914E-3</v>
      </c>
      <c r="Z86" s="3">
        <f t="shared" si="3"/>
        <v>8.4261588903597577E-3</v>
      </c>
      <c r="AA86" s="3">
        <f t="shared" si="5"/>
        <v>7.5981212174229132E-3</v>
      </c>
      <c r="AB86" s="3"/>
      <c r="AC86">
        <f t="shared" si="2"/>
        <v>6495.5</v>
      </c>
      <c r="AD86">
        <f t="shared" si="4"/>
        <v>6808.45</v>
      </c>
    </row>
    <row r="87" spans="1:30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  <c r="X87" s="3">
        <f t="shared" si="6"/>
        <v>1.5362090769525993E-2</v>
      </c>
      <c r="Y87" s="3">
        <f t="shared" si="7"/>
        <v>1.5362090769525993E-2</v>
      </c>
      <c r="Z87" s="3">
        <f t="shared" si="3"/>
        <v>8.8786085665352402E-3</v>
      </c>
      <c r="AA87" s="3">
        <f t="shared" si="5"/>
        <v>7.7654753446274316E-3</v>
      </c>
      <c r="AB87" s="3"/>
      <c r="AC87">
        <f t="shared" si="2"/>
        <v>6695.8249999999998</v>
      </c>
      <c r="AD87">
        <f t="shared" si="4"/>
        <v>6808.45</v>
      </c>
    </row>
    <row r="88" spans="1:30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  <c r="X88" s="3">
        <f t="shared" si="6"/>
        <v>1.4901732677945478E-3</v>
      </c>
      <c r="Y88" s="3">
        <f t="shared" si="7"/>
        <v>1.4901732677945478E-3</v>
      </c>
      <c r="Z88" s="3">
        <f t="shared" si="3"/>
        <v>8.3809835961341731E-3</v>
      </c>
      <c r="AA88" s="3">
        <f t="shared" si="5"/>
        <v>7.7386065867883491E-3</v>
      </c>
      <c r="AB88" s="3"/>
      <c r="AC88">
        <f t="shared" si="2"/>
        <v>6695.8249999999998</v>
      </c>
      <c r="AD88">
        <f t="shared" si="4"/>
        <v>6852.875</v>
      </c>
    </row>
    <row r="89" spans="1:30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  <c r="X89" s="3">
        <f t="shared" si="6"/>
        <v>5.5844704543299706E-3</v>
      </c>
      <c r="Y89" s="3">
        <f t="shared" si="7"/>
        <v>5.5844704543299706E-3</v>
      </c>
      <c r="Z89" s="3">
        <f t="shared" si="3"/>
        <v>8.5303322884374994E-3</v>
      </c>
      <c r="AA89" s="3">
        <f t="shared" si="5"/>
        <v>7.7279944930533266E-3</v>
      </c>
      <c r="AB89" s="3"/>
      <c r="AC89">
        <f t="shared" si="2"/>
        <v>6808.45</v>
      </c>
      <c r="AD89">
        <f t="shared" si="4"/>
        <v>6942</v>
      </c>
    </row>
    <row r="90" spans="1:30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  <c r="X90" s="3">
        <f t="shared" si="6"/>
        <v>4.6075774727873942E-3</v>
      </c>
      <c r="Y90" s="3">
        <f t="shared" si="7"/>
        <v>4.6075774727873942E-3</v>
      </c>
      <c r="Z90" s="3">
        <f t="shared" si="3"/>
        <v>7.9676121286634156E-3</v>
      </c>
      <c r="AA90" s="3">
        <f t="shared" si="5"/>
        <v>7.7092759419817103E-3</v>
      </c>
      <c r="AB90" s="3"/>
      <c r="AC90">
        <f t="shared" si="2"/>
        <v>6695.8249999999998</v>
      </c>
      <c r="AD90">
        <f t="shared" si="4"/>
        <v>6852.875</v>
      </c>
    </row>
    <row r="91" spans="1:30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  <c r="X91" s="3">
        <f t="shared" si="6"/>
        <v>2.6099488700563889E-3</v>
      </c>
      <c r="Y91" s="3">
        <f t="shared" si="7"/>
        <v>2.6099488700563889E-3</v>
      </c>
      <c r="Z91" s="3">
        <f t="shared" si="3"/>
        <v>7.788458644396686E-3</v>
      </c>
      <c r="AA91" s="3">
        <f t="shared" si="5"/>
        <v>7.7446775288403736E-3</v>
      </c>
      <c r="AB91" s="3"/>
      <c r="AC91">
        <f t="shared" si="2"/>
        <v>6695.8249999999998</v>
      </c>
      <c r="AD91">
        <f t="shared" si="4"/>
        <v>6808.45</v>
      </c>
    </row>
    <row r="92" spans="1:30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  <c r="X92" s="3">
        <f t="shared" si="6"/>
        <v>1.5752020915771325E-3</v>
      </c>
      <c r="Y92" s="3">
        <f t="shared" si="7"/>
        <v>1.5752020915771325E-3</v>
      </c>
      <c r="Z92" s="3">
        <f t="shared" si="3"/>
        <v>7.788199675654384E-3</v>
      </c>
      <c r="AA92" s="3">
        <f t="shared" si="5"/>
        <v>7.7060182032919105E-3</v>
      </c>
      <c r="AB92" s="3"/>
      <c r="AC92">
        <f t="shared" si="2"/>
        <v>6808.45</v>
      </c>
      <c r="AD92">
        <f t="shared" si="4"/>
        <v>6808.45</v>
      </c>
    </row>
    <row r="93" spans="1:30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  <c r="X93" s="3">
        <f t="shared" si="6"/>
        <v>-1.4001620300753137E-3</v>
      </c>
      <c r="Y93" s="3">
        <f t="shared" si="7"/>
        <v>1.4001620300753137E-3</v>
      </c>
      <c r="Z93" s="3">
        <f t="shared" si="3"/>
        <v>7.8101791151184352E-3</v>
      </c>
      <c r="AA93" s="3">
        <f t="shared" si="5"/>
        <v>7.6785219606006301E-3</v>
      </c>
      <c r="AB93" s="3"/>
      <c r="AC93">
        <f t="shared" si="2"/>
        <v>6695.8249999999998</v>
      </c>
      <c r="AD93">
        <f t="shared" si="4"/>
        <v>6737.4349999999995</v>
      </c>
    </row>
    <row r="94" spans="1:30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  <c r="X94" s="3">
        <f t="shared" si="6"/>
        <v>4.5080898493032873E-3</v>
      </c>
      <c r="Y94" s="3">
        <f t="shared" si="7"/>
        <v>4.5080898493032873E-3</v>
      </c>
      <c r="Z94" s="3">
        <f t="shared" si="3"/>
        <v>7.9568663626931307E-3</v>
      </c>
      <c r="AA94" s="3">
        <f t="shared" si="5"/>
        <v>7.6737619946743831E-3</v>
      </c>
      <c r="AB94" s="3"/>
      <c r="AC94">
        <f t="shared" si="2"/>
        <v>6695.8249999999998</v>
      </c>
      <c r="AD94">
        <f t="shared" si="4"/>
        <v>6652.2350000000006</v>
      </c>
    </row>
    <row r="95" spans="1:30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  <c r="X95" s="3">
        <f t="shared" si="6"/>
        <v>-3.513493691148839E-3</v>
      </c>
      <c r="Y95" s="3">
        <f t="shared" si="7"/>
        <v>3.513493691148839E-3</v>
      </c>
      <c r="Z95" s="3">
        <f t="shared" si="3"/>
        <v>8.0266456488009719E-3</v>
      </c>
      <c r="AA95" s="3">
        <f t="shared" si="5"/>
        <v>7.7045807913254738E-3</v>
      </c>
      <c r="AB95" s="3"/>
      <c r="AC95">
        <f t="shared" si="2"/>
        <v>6695.8249999999998</v>
      </c>
      <c r="AD95">
        <f t="shared" si="4"/>
        <v>6652.2350000000006</v>
      </c>
    </row>
    <row r="96" spans="1:30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  <c r="X96" s="3">
        <f t="shared" si="6"/>
        <v>-5.3971982109228822E-3</v>
      </c>
      <c r="Y96" s="3">
        <f t="shared" si="7"/>
        <v>5.3971982109228822E-3</v>
      </c>
      <c r="Z96" s="3">
        <f t="shared" si="3"/>
        <v>7.8290548408129924E-3</v>
      </c>
      <c r="AA96" s="3">
        <f t="shared" si="5"/>
        <v>7.659877021670123E-3</v>
      </c>
      <c r="AB96" s="3"/>
      <c r="AC96">
        <f t="shared" ref="AC96:AC159" si="8">MEDIAN(E67:E96)</f>
        <v>6695.8249999999998</v>
      </c>
      <c r="AD96">
        <f t="shared" si="4"/>
        <v>6652.2350000000006</v>
      </c>
    </row>
    <row r="97" spans="1:30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  <c r="X97" s="3">
        <f t="shared" si="6"/>
        <v>-2.5066340586565872E-3</v>
      </c>
      <c r="Y97" s="3">
        <f t="shared" si="7"/>
        <v>2.5066340586565872E-3</v>
      </c>
      <c r="Z97" s="3">
        <f t="shared" ref="Z97:Z160" si="9">AVERAGE(Y68:Y97)</f>
        <v>7.8869346682865528E-3</v>
      </c>
      <c r="AA97" s="3">
        <f t="shared" si="5"/>
        <v>7.6498561404114542E-3</v>
      </c>
      <c r="AB97" s="3"/>
      <c r="AC97">
        <f t="shared" si="8"/>
        <v>6643.1749999999993</v>
      </c>
      <c r="AD97">
        <f t="shared" si="4"/>
        <v>6652.2350000000006</v>
      </c>
    </row>
    <row r="98" spans="1:30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  <c r="X98" s="3">
        <f t="shared" si="6"/>
        <v>1.7842999519923186E-2</v>
      </c>
      <c r="Y98" s="3">
        <f t="shared" si="7"/>
        <v>1.7842999519923186E-2</v>
      </c>
      <c r="Z98" s="3">
        <f t="shared" si="9"/>
        <v>7.9660065906457089E-3</v>
      </c>
      <c r="AA98" s="3">
        <f t="shared" si="5"/>
        <v>7.9153428122001965E-3</v>
      </c>
      <c r="AB98" s="3"/>
      <c r="AC98">
        <f t="shared" si="8"/>
        <v>6643.1749999999993</v>
      </c>
      <c r="AD98">
        <f t="shared" si="4"/>
        <v>6652.2350000000006</v>
      </c>
    </row>
    <row r="99" spans="1:30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  <c r="X99" s="3">
        <f t="shared" si="6"/>
        <v>-6.1227212206572679E-3</v>
      </c>
      <c r="Y99" s="3">
        <f t="shared" si="7"/>
        <v>6.1227212206572679E-3</v>
      </c>
      <c r="Z99" s="3">
        <f t="shared" si="9"/>
        <v>8.136985336278461E-3</v>
      </c>
      <c r="AA99" s="3">
        <f t="shared" si="5"/>
        <v>7.9304933236308637E-3</v>
      </c>
      <c r="AB99" s="3"/>
      <c r="AC99">
        <f t="shared" si="8"/>
        <v>6478.2</v>
      </c>
      <c r="AD99">
        <f t="shared" si="4"/>
        <v>6611.125</v>
      </c>
    </row>
    <row r="100" spans="1:30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  <c r="X100" s="3">
        <f t="shared" si="6"/>
        <v>1.6095610979649511E-3</v>
      </c>
      <c r="Y100" s="3">
        <f t="shared" si="7"/>
        <v>1.6095610979649511E-3</v>
      </c>
      <c r="Z100" s="3">
        <f t="shared" si="9"/>
        <v>7.588293303596368E-3</v>
      </c>
      <c r="AA100" s="3">
        <f t="shared" si="5"/>
        <v>7.9526878626248864E-3</v>
      </c>
      <c r="AB100" s="3"/>
      <c r="AC100">
        <f t="shared" si="8"/>
        <v>6643.1749999999993</v>
      </c>
      <c r="AD100">
        <f t="shared" si="4"/>
        <v>6625.6100000000006</v>
      </c>
    </row>
    <row r="101" spans="1:30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  <c r="X101" s="3">
        <f t="shared" si="6"/>
        <v>-1.619394056603829E-3</v>
      </c>
      <c r="Y101" s="3">
        <f t="shared" si="7"/>
        <v>1.619394056603829E-3</v>
      </c>
      <c r="Z101" s="3">
        <f t="shared" si="9"/>
        <v>7.6125978263763029E-3</v>
      </c>
      <c r="AA101" s="3">
        <f t="shared" si="5"/>
        <v>7.7761926150534321E-3</v>
      </c>
      <c r="AB101" s="3"/>
      <c r="AC101">
        <f t="shared" si="8"/>
        <v>6808.45</v>
      </c>
      <c r="AD101">
        <f t="shared" si="4"/>
        <v>6737.4349999999995</v>
      </c>
    </row>
    <row r="102" spans="1:30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  <c r="X102" s="3">
        <f t="shared" si="6"/>
        <v>-1.3154817924528883E-3</v>
      </c>
      <c r="Y102" s="3">
        <f t="shared" si="7"/>
        <v>1.3154817924528883E-3</v>
      </c>
      <c r="Z102" s="3">
        <f t="shared" si="9"/>
        <v>7.1961614682297262E-3</v>
      </c>
      <c r="AA102" s="3">
        <f t="shared" si="5"/>
        <v>7.7214751977731757E-3</v>
      </c>
      <c r="AB102" s="3"/>
      <c r="AC102">
        <f t="shared" si="8"/>
        <v>6902.375</v>
      </c>
      <c r="AD102">
        <f t="shared" si="4"/>
        <v>6737.4349999999995</v>
      </c>
    </row>
    <row r="103" spans="1:30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  <c r="X103" s="3">
        <f t="shared" si="6"/>
        <v>7.0267064917783895E-3</v>
      </c>
      <c r="Y103" s="3">
        <f t="shared" si="7"/>
        <v>7.0267064917783895E-3</v>
      </c>
      <c r="Z103" s="3">
        <f t="shared" si="9"/>
        <v>7.0023911519346872E-3</v>
      </c>
      <c r="AA103" s="3">
        <f t="shared" si="5"/>
        <v>7.7468053466198871E-3</v>
      </c>
      <c r="AB103" s="3"/>
      <c r="AC103">
        <f t="shared" si="8"/>
        <v>6902.375</v>
      </c>
      <c r="AD103">
        <f t="shared" si="4"/>
        <v>6737.4349999999995</v>
      </c>
    </row>
    <row r="104" spans="1:30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  <c r="X104" s="3">
        <f t="shared" si="6"/>
        <v>1.705547120343831E-2</v>
      </c>
      <c r="Y104" s="3">
        <f t="shared" si="7"/>
        <v>1.705547120343831E-2</v>
      </c>
      <c r="Z104" s="3">
        <f t="shared" si="9"/>
        <v>7.5006214542068907E-3</v>
      </c>
      <c r="AA104" s="3">
        <f t="shared" si="5"/>
        <v>8.0038147877797925E-3</v>
      </c>
      <c r="AB104" s="3"/>
      <c r="AC104">
        <f t="shared" si="8"/>
        <v>6902.375</v>
      </c>
      <c r="AD104">
        <f t="shared" si="4"/>
        <v>6737.4349999999995</v>
      </c>
    </row>
    <row r="105" spans="1:30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  <c r="X105" s="3">
        <f t="shared" si="6"/>
        <v>3.6477220754715933E-3</v>
      </c>
      <c r="Y105" s="3">
        <f t="shared" si="7"/>
        <v>3.6477220754715933E-3</v>
      </c>
      <c r="Z105" s="3">
        <f t="shared" si="9"/>
        <v>7.449442102546E-3</v>
      </c>
      <c r="AA105" s="3">
        <f t="shared" si="5"/>
        <v>7.8421090832032463E-3</v>
      </c>
      <c r="AB105" s="3"/>
      <c r="AC105">
        <f t="shared" si="8"/>
        <v>7008.5</v>
      </c>
      <c r="AD105">
        <f t="shared" si="4"/>
        <v>6808.45</v>
      </c>
    </row>
    <row r="106" spans="1:30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  <c r="X106" s="3">
        <f t="shared" si="6"/>
        <v>8.1352616213152817E-3</v>
      </c>
      <c r="Y106" s="3">
        <f t="shared" si="7"/>
        <v>8.1352616213152817E-3</v>
      </c>
      <c r="Z106" s="3">
        <f t="shared" si="9"/>
        <v>7.5307714500481493E-3</v>
      </c>
      <c r="AA106" s="3">
        <f t="shared" si="5"/>
        <v>7.7551751973700582E-3</v>
      </c>
      <c r="AB106" s="3"/>
      <c r="AC106">
        <f t="shared" si="8"/>
        <v>7008.5</v>
      </c>
      <c r="AD106">
        <f t="shared" si="4"/>
        <v>6808.45</v>
      </c>
    </row>
    <row r="107" spans="1:30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  <c r="X107" s="3">
        <f t="shared" si="6"/>
        <v>1.3277543791469171E-2</v>
      </c>
      <c r="Y107" s="3">
        <f t="shared" si="7"/>
        <v>1.3277543791469171E-2</v>
      </c>
      <c r="Z107" s="3">
        <f t="shared" si="9"/>
        <v>7.7197361953644274E-3</v>
      </c>
      <c r="AA107" s="3">
        <f t="shared" si="5"/>
        <v>7.9645791952017361E-3</v>
      </c>
      <c r="AB107" s="3"/>
      <c r="AC107">
        <f t="shared" si="8"/>
        <v>7066.25</v>
      </c>
      <c r="AD107">
        <f t="shared" si="4"/>
        <v>6852.875</v>
      </c>
    </row>
    <row r="108" spans="1:30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  <c r="X108" s="3">
        <f t="shared" si="6"/>
        <v>5.9187830682880804E-3</v>
      </c>
      <c r="Y108" s="3">
        <f t="shared" si="7"/>
        <v>5.9187830682880804E-3</v>
      </c>
      <c r="Z108" s="3">
        <f t="shared" si="9"/>
        <v>7.7230159110058521E-3</v>
      </c>
      <c r="AA108" s="3">
        <f t="shared" si="5"/>
        <v>7.7682740283209562E-3</v>
      </c>
      <c r="AB108" s="3"/>
      <c r="AC108">
        <f t="shared" si="8"/>
        <v>7317.875</v>
      </c>
      <c r="AD108">
        <f t="shared" si="4"/>
        <v>6942</v>
      </c>
    </row>
    <row r="109" spans="1:30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  <c r="X109" s="3">
        <f t="shared" si="6"/>
        <v>2.6835917132215226E-3</v>
      </c>
      <c r="Y109" s="3">
        <f t="shared" si="7"/>
        <v>2.6835917132215226E-3</v>
      </c>
      <c r="Z109" s="3">
        <f t="shared" si="9"/>
        <v>7.4881934792458598E-3</v>
      </c>
      <c r="AA109" s="3">
        <f t="shared" si="5"/>
        <v>7.7084823264260234E-3</v>
      </c>
      <c r="AB109" s="3"/>
      <c r="AC109">
        <f t="shared" si="8"/>
        <v>7625.625</v>
      </c>
      <c r="AD109">
        <f t="shared" si="4"/>
        <v>6942</v>
      </c>
    </row>
    <row r="110" spans="1:30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  <c r="X110" s="3">
        <f t="shared" si="6"/>
        <v>-1.9175966573815595E-3</v>
      </c>
      <c r="Y110" s="3">
        <f t="shared" si="7"/>
        <v>1.9175966573815595E-3</v>
      </c>
      <c r="Z110" s="3">
        <f t="shared" si="9"/>
        <v>7.2625750589827599E-3</v>
      </c>
      <c r="AA110" s="3">
        <f t="shared" si="5"/>
        <v>7.7154215596915822E-3</v>
      </c>
      <c r="AB110" s="3"/>
      <c r="AC110">
        <f t="shared" si="8"/>
        <v>7625.625</v>
      </c>
      <c r="AD110">
        <f t="shared" si="4"/>
        <v>6991.5</v>
      </c>
    </row>
    <row r="111" spans="1:30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  <c r="X111" s="3">
        <f t="shared" si="6"/>
        <v>3.0633623686902034E-3</v>
      </c>
      <c r="Y111" s="3">
        <f t="shared" si="7"/>
        <v>3.0633623686902034E-3</v>
      </c>
      <c r="Z111" s="3">
        <f t="shared" si="9"/>
        <v>6.8606100121712385E-3</v>
      </c>
      <c r="AA111" s="3">
        <f t="shared" si="5"/>
        <v>7.412083809775964E-3</v>
      </c>
      <c r="AB111" s="3"/>
      <c r="AC111">
        <f t="shared" si="8"/>
        <v>7876</v>
      </c>
      <c r="AD111">
        <f t="shared" si="4"/>
        <v>7008.5</v>
      </c>
    </row>
    <row r="112" spans="1:30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  <c r="X112" s="3">
        <f t="shared" si="6"/>
        <v>1.0523063551401757E-2</v>
      </c>
      <c r="Y112" s="3">
        <f t="shared" si="7"/>
        <v>1.0523063551401757E-2</v>
      </c>
      <c r="Z112" s="3">
        <f t="shared" si="9"/>
        <v>6.6390413352069673E-3</v>
      </c>
      <c r="AA112" s="3">
        <f t="shared" si="5"/>
        <v>7.4502504919275051E-3</v>
      </c>
      <c r="AB112" s="3"/>
      <c r="AC112">
        <f t="shared" si="8"/>
        <v>8153.3</v>
      </c>
      <c r="AD112">
        <f t="shared" si="4"/>
        <v>7008.5</v>
      </c>
    </row>
    <row r="113" spans="1:30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  <c r="X113" s="3">
        <f t="shared" si="6"/>
        <v>-1.1829544362292888E-3</v>
      </c>
      <c r="Y113" s="3">
        <f t="shared" si="7"/>
        <v>1.1829544362292888E-3</v>
      </c>
      <c r="Z113" s="3">
        <f t="shared" si="9"/>
        <v>6.1248395576907642E-3</v>
      </c>
      <c r="AA113" s="3">
        <f t="shared" si="5"/>
        <v>7.3891764635631201E-3</v>
      </c>
      <c r="AB113" s="3"/>
      <c r="AC113">
        <f t="shared" si="8"/>
        <v>8360.1</v>
      </c>
      <c r="AD113">
        <f t="shared" si="4"/>
        <v>7008.5</v>
      </c>
    </row>
    <row r="114" spans="1:30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  <c r="X114" s="3">
        <f t="shared" si="6"/>
        <v>-1.0137561439114373E-2</v>
      </c>
      <c r="Y114" s="3">
        <f t="shared" si="7"/>
        <v>1.0137561439114373E-2</v>
      </c>
      <c r="Z114" s="3">
        <f t="shared" si="9"/>
        <v>6.3031695404265568E-3</v>
      </c>
      <c r="AA114" s="3">
        <f t="shared" si="5"/>
        <v>7.2625861334845217E-3</v>
      </c>
      <c r="AB114" s="3"/>
      <c r="AC114">
        <f t="shared" si="8"/>
        <v>8451.2000000000007</v>
      </c>
      <c r="AD114">
        <f t="shared" si="4"/>
        <v>7066.25</v>
      </c>
    </row>
    <row r="115" spans="1:30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  <c r="X115" s="3">
        <f t="shared" si="6"/>
        <v>-9.9476278703704013E-3</v>
      </c>
      <c r="Y115" s="3">
        <f t="shared" si="7"/>
        <v>9.9476278703704013E-3</v>
      </c>
      <c r="Z115" s="3">
        <f t="shared" si="9"/>
        <v>5.9602696461943496E-3</v>
      </c>
      <c r="AA115" s="3">
        <f t="shared" si="5"/>
        <v>7.3516460824437323E-3</v>
      </c>
      <c r="AB115" s="3"/>
      <c r="AC115">
        <f t="shared" si="8"/>
        <v>8451.2000000000007</v>
      </c>
      <c r="AD115">
        <f t="shared" si="4"/>
        <v>7008.5</v>
      </c>
    </row>
    <row r="116" spans="1:30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  <c r="X116" s="3">
        <f t="shared" si="6"/>
        <v>-2.015568837209325E-3</v>
      </c>
      <c r="Y116" s="3">
        <f t="shared" si="7"/>
        <v>2.015568837209325E-3</v>
      </c>
      <c r="Z116" s="3">
        <f t="shared" si="9"/>
        <v>5.7866004526386568E-3</v>
      </c>
      <c r="AA116" s="3">
        <f t="shared" si="5"/>
        <v>7.1063796714992081E-3</v>
      </c>
      <c r="AB116" s="3"/>
      <c r="AC116">
        <f t="shared" si="8"/>
        <v>8451.2000000000007</v>
      </c>
      <c r="AD116">
        <f t="shared" si="4"/>
        <v>7008.5</v>
      </c>
    </row>
    <row r="117" spans="1:30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  <c r="X117" s="3">
        <f t="shared" si="6"/>
        <v>1.1161380050386249E-3</v>
      </c>
      <c r="Y117" s="3">
        <f t="shared" si="7"/>
        <v>1.1161380050386249E-3</v>
      </c>
      <c r="Z117" s="3">
        <f t="shared" si="9"/>
        <v>5.3117353604890784E-3</v>
      </c>
      <c r="AA117" s="3">
        <f t="shared" si="5"/>
        <v>7.0951719635121589E-3</v>
      </c>
      <c r="AB117" s="3"/>
      <c r="AC117">
        <f t="shared" si="8"/>
        <v>8451.2000000000007</v>
      </c>
      <c r="AD117">
        <f t="shared" si="4"/>
        <v>7066.25</v>
      </c>
    </row>
    <row r="118" spans="1:30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  <c r="X118" s="3">
        <f t="shared" si="6"/>
        <v>-3.3981738376623882E-3</v>
      </c>
      <c r="Y118" s="3">
        <f t="shared" si="7"/>
        <v>3.3981738376623882E-3</v>
      </c>
      <c r="Z118" s="3">
        <f t="shared" si="9"/>
        <v>5.375335379484673E-3</v>
      </c>
      <c r="AA118" s="3">
        <f t="shared" si="5"/>
        <v>6.8781594878094231E-3</v>
      </c>
      <c r="AB118" s="3"/>
      <c r="AC118">
        <f t="shared" si="8"/>
        <v>8360.1</v>
      </c>
      <c r="AD118">
        <f t="shared" si="4"/>
        <v>7008.5</v>
      </c>
    </row>
    <row r="119" spans="1:30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  <c r="X119" s="3">
        <f t="shared" si="6"/>
        <v>4.4750018063732799E-3</v>
      </c>
      <c r="Y119" s="3">
        <f t="shared" si="7"/>
        <v>4.4750018063732799E-3</v>
      </c>
      <c r="Z119" s="3">
        <f t="shared" si="9"/>
        <v>5.3383530912194501E-3</v>
      </c>
      <c r="AA119" s="3">
        <f t="shared" si="5"/>
        <v>6.9343426898284743E-3</v>
      </c>
      <c r="AB119" s="3"/>
      <c r="AC119">
        <f t="shared" si="8"/>
        <v>8360.1</v>
      </c>
      <c r="AD119">
        <f t="shared" si="4"/>
        <v>7066.25</v>
      </c>
    </row>
    <row r="120" spans="1:30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  <c r="X120" s="3">
        <f t="shared" si="6"/>
        <v>-9.2371476323116486E-4</v>
      </c>
      <c r="Y120" s="3">
        <f t="shared" si="7"/>
        <v>9.2371476323116486E-4</v>
      </c>
      <c r="Z120" s="3">
        <f t="shared" si="9"/>
        <v>5.2155576675675759E-3</v>
      </c>
      <c r="AA120" s="3">
        <f t="shared" si="5"/>
        <v>6.5915848981154953E-3</v>
      </c>
      <c r="AB120" s="3"/>
      <c r="AC120">
        <f t="shared" si="8"/>
        <v>8360.1</v>
      </c>
      <c r="AD120">
        <f t="shared" si="4"/>
        <v>7008.5</v>
      </c>
    </row>
    <row r="121" spans="1:30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  <c r="X121" s="3">
        <f t="shared" si="6"/>
        <v>-2.42145125348181E-3</v>
      </c>
      <c r="Y121" s="3">
        <f t="shared" si="7"/>
        <v>2.42145125348181E-3</v>
      </c>
      <c r="Z121" s="3">
        <f t="shared" si="9"/>
        <v>5.2092744136817562E-3</v>
      </c>
      <c r="AA121" s="3">
        <f t="shared" si="5"/>
        <v>6.4988665290392211E-3</v>
      </c>
      <c r="AB121" s="3"/>
      <c r="AC121">
        <f t="shared" si="8"/>
        <v>8451.2000000000007</v>
      </c>
      <c r="AD121">
        <f t="shared" si="4"/>
        <v>7066.25</v>
      </c>
    </row>
    <row r="122" spans="1:30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  <c r="X122" s="3">
        <f t="shared" si="6"/>
        <v>3.0065397626390933E-3</v>
      </c>
      <c r="Y122" s="3">
        <f t="shared" si="7"/>
        <v>3.0065397626390933E-3</v>
      </c>
      <c r="Z122" s="3">
        <f t="shared" si="9"/>
        <v>5.2569856693838214E-3</v>
      </c>
      <c r="AA122" s="3">
        <f t="shared" si="5"/>
        <v>6.5225926725191027E-3</v>
      </c>
      <c r="AB122" s="3"/>
      <c r="AC122">
        <f t="shared" si="8"/>
        <v>8451.2000000000007</v>
      </c>
      <c r="AD122">
        <f t="shared" si="4"/>
        <v>7210.75</v>
      </c>
    </row>
    <row r="123" spans="1:30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  <c r="X123" s="3">
        <f t="shared" si="6"/>
        <v>-4.3315038443724196E-3</v>
      </c>
      <c r="Y123" s="3">
        <f t="shared" si="7"/>
        <v>4.3315038443724196E-3</v>
      </c>
      <c r="Z123" s="3">
        <f t="shared" si="9"/>
        <v>5.3546970631937248E-3</v>
      </c>
      <c r="AA123" s="3">
        <f t="shared" si="5"/>
        <v>6.5824380891560804E-3</v>
      </c>
      <c r="AB123" s="3"/>
      <c r="AC123">
        <f t="shared" si="8"/>
        <v>8451.2000000000007</v>
      </c>
      <c r="AD123">
        <f t="shared" si="4"/>
        <v>7066.25</v>
      </c>
    </row>
    <row r="124" spans="1:30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  <c r="X124" s="3">
        <f t="shared" si="6"/>
        <v>6.2226723026623798E-3</v>
      </c>
      <c r="Y124" s="3">
        <f t="shared" si="7"/>
        <v>6.2226723026623798E-3</v>
      </c>
      <c r="Z124" s="3">
        <f t="shared" si="9"/>
        <v>5.4118498116390284E-3</v>
      </c>
      <c r="AA124" s="3">
        <f t="shared" si="5"/>
        <v>6.6843580871660795E-3</v>
      </c>
      <c r="AB124" s="3"/>
      <c r="AC124">
        <f t="shared" si="8"/>
        <v>8522.9</v>
      </c>
      <c r="AD124">
        <f t="shared" si="4"/>
        <v>7210.75</v>
      </c>
    </row>
    <row r="125" spans="1:30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  <c r="X125" s="3">
        <f t="shared" si="6"/>
        <v>1.8333790989315535E-3</v>
      </c>
      <c r="Y125" s="3">
        <f t="shared" si="7"/>
        <v>1.8333790989315535E-3</v>
      </c>
      <c r="Z125" s="3">
        <f t="shared" si="9"/>
        <v>5.355845991898452E-3</v>
      </c>
      <c r="AA125" s="3">
        <f t="shared" si="5"/>
        <v>6.691245820349712E-3</v>
      </c>
      <c r="AB125" s="3"/>
      <c r="AC125">
        <f t="shared" si="8"/>
        <v>8652.85</v>
      </c>
      <c r="AD125">
        <f t="shared" si="4"/>
        <v>7417.125</v>
      </c>
    </row>
    <row r="126" spans="1:30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  <c r="X126" s="3">
        <f t="shared" si="6"/>
        <v>2.3141530754242634E-3</v>
      </c>
      <c r="Y126" s="3">
        <f t="shared" si="7"/>
        <v>2.3141530754242634E-3</v>
      </c>
      <c r="Z126" s="3">
        <f t="shared" si="9"/>
        <v>5.2530778207151652E-3</v>
      </c>
      <c r="AA126" s="3">
        <f t="shared" si="5"/>
        <v>6.5410663307640783E-3</v>
      </c>
      <c r="AB126" s="3"/>
      <c r="AC126">
        <f t="shared" si="8"/>
        <v>8522.9</v>
      </c>
      <c r="AD126">
        <f t="shared" ref="AD126:AD189" si="10">MEDIAN(E67:E126)</f>
        <v>7210.75</v>
      </c>
    </row>
    <row r="127" spans="1:30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  <c r="X127" s="3">
        <f t="shared" si="6"/>
        <v>-8.2065675925924175E-4</v>
      </c>
      <c r="Y127" s="3">
        <f t="shared" si="7"/>
        <v>8.2065675925924175E-4</v>
      </c>
      <c r="Z127" s="3">
        <f t="shared" si="9"/>
        <v>5.1968785774019199E-3</v>
      </c>
      <c r="AA127" s="3">
        <f t="shared" ref="AA127:AA190" si="11">AVERAGE(Y68:Y127)</f>
        <v>6.5419066228442364E-3</v>
      </c>
      <c r="AB127" s="3"/>
      <c r="AC127">
        <f t="shared" si="8"/>
        <v>8652.85</v>
      </c>
      <c r="AD127">
        <f t="shared" si="10"/>
        <v>7417.125</v>
      </c>
    </row>
    <row r="128" spans="1:30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  <c r="X128" s="3">
        <f t="shared" si="6"/>
        <v>3.9108443906075152E-3</v>
      </c>
      <c r="Y128" s="3">
        <f t="shared" si="7"/>
        <v>3.9108443906075152E-3</v>
      </c>
      <c r="Z128" s="3">
        <f t="shared" si="9"/>
        <v>4.7324734064247307E-3</v>
      </c>
      <c r="AA128" s="3">
        <f t="shared" si="11"/>
        <v>6.3492399985352202E-3</v>
      </c>
      <c r="AB128" s="3"/>
      <c r="AC128">
        <f t="shared" si="8"/>
        <v>8652.85</v>
      </c>
      <c r="AD128">
        <f t="shared" si="10"/>
        <v>7525.25</v>
      </c>
    </row>
    <row r="129" spans="1:30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  <c r="X129" s="3">
        <f t="shared" si="6"/>
        <v>-1.563595249141736E-3</v>
      </c>
      <c r="Y129" s="3">
        <f t="shared" si="7"/>
        <v>1.563595249141736E-3</v>
      </c>
      <c r="Z129" s="3">
        <f t="shared" si="9"/>
        <v>4.5805025407075466E-3</v>
      </c>
      <c r="AA129" s="3">
        <f t="shared" si="11"/>
        <v>6.3587439384930038E-3</v>
      </c>
      <c r="AB129" s="3"/>
      <c r="AC129">
        <f t="shared" si="8"/>
        <v>8652.85</v>
      </c>
      <c r="AD129">
        <f t="shared" si="10"/>
        <v>7525.25</v>
      </c>
    </row>
    <row r="130" spans="1:30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  <c r="X130" s="3">
        <f t="shared" si="6"/>
        <v>-2.1250999999998799E-3</v>
      </c>
      <c r="Y130" s="3">
        <f t="shared" si="7"/>
        <v>2.1250999999998799E-3</v>
      </c>
      <c r="Z130" s="3">
        <f t="shared" si="9"/>
        <v>4.5976871707753778E-3</v>
      </c>
      <c r="AA130" s="3">
        <f t="shared" si="11"/>
        <v>6.0929902371858729E-3</v>
      </c>
      <c r="AB130" s="3"/>
      <c r="AC130">
        <f t="shared" si="8"/>
        <v>8522.9</v>
      </c>
      <c r="AD130">
        <f t="shared" si="10"/>
        <v>7525.25</v>
      </c>
    </row>
    <row r="131" spans="1:30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  <c r="X131" s="3">
        <f t="shared" si="6"/>
        <v>1.534824341982377E-3</v>
      </c>
      <c r="Y131" s="3">
        <f t="shared" si="7"/>
        <v>1.534824341982377E-3</v>
      </c>
      <c r="Z131" s="3">
        <f t="shared" si="9"/>
        <v>4.5948681802879957E-3</v>
      </c>
      <c r="AA131" s="3">
        <f t="shared" si="11"/>
        <v>6.1037330033321497E-3</v>
      </c>
      <c r="AB131" s="3"/>
      <c r="AC131">
        <f t="shared" si="8"/>
        <v>8522.9</v>
      </c>
      <c r="AD131">
        <f t="shared" si="10"/>
        <v>7525.25</v>
      </c>
    </row>
    <row r="132" spans="1:30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  <c r="X132" s="3">
        <f t="shared" ref="X132:X195" si="12">B132/U132-1</f>
        <v>-4.6404926579926009E-3</v>
      </c>
      <c r="Y132" s="3">
        <f t="shared" ref="Y132:Y195" si="13">ABS(X132)</f>
        <v>4.6404926579926009E-3</v>
      </c>
      <c r="Z132" s="3">
        <f t="shared" si="9"/>
        <v>4.7057018758059864E-3</v>
      </c>
      <c r="AA132" s="3">
        <f t="shared" si="11"/>
        <v>5.9509316720178559E-3</v>
      </c>
      <c r="AB132" s="3"/>
      <c r="AC132">
        <f t="shared" si="8"/>
        <v>8451.2000000000007</v>
      </c>
      <c r="AD132">
        <f t="shared" si="10"/>
        <v>7525.25</v>
      </c>
    </row>
    <row r="133" spans="1:30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  <c r="X133" s="3">
        <f t="shared" si="12"/>
        <v>-1.0596984526473063E-3</v>
      </c>
      <c r="Y133" s="3">
        <f t="shared" si="13"/>
        <v>1.0596984526473063E-3</v>
      </c>
      <c r="Z133" s="3">
        <f t="shared" si="9"/>
        <v>4.5068016078349503E-3</v>
      </c>
      <c r="AA133" s="3">
        <f t="shared" si="11"/>
        <v>5.7545963798848188E-3</v>
      </c>
      <c r="AB133" s="3"/>
      <c r="AC133">
        <f t="shared" si="8"/>
        <v>8522.9</v>
      </c>
      <c r="AD133">
        <f t="shared" si="10"/>
        <v>7619.625</v>
      </c>
    </row>
    <row r="134" spans="1:30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  <c r="X134" s="3">
        <f t="shared" si="12"/>
        <v>-1.2433895619756719E-4</v>
      </c>
      <c r="Y134" s="3">
        <f t="shared" si="13"/>
        <v>1.2433895619756719E-4</v>
      </c>
      <c r="Z134" s="3">
        <f t="shared" si="9"/>
        <v>3.9424305329269251E-3</v>
      </c>
      <c r="AA134" s="3">
        <f t="shared" si="11"/>
        <v>5.7215259935669083E-3</v>
      </c>
      <c r="AB134" s="3"/>
      <c r="AC134">
        <f t="shared" si="8"/>
        <v>8522.9</v>
      </c>
      <c r="AD134">
        <f t="shared" si="10"/>
        <v>7618.625</v>
      </c>
    </row>
    <row r="135" spans="1:30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  <c r="X135" s="3">
        <f t="shared" si="12"/>
        <v>6.8491496114595485E-3</v>
      </c>
      <c r="Y135" s="3">
        <f t="shared" si="13"/>
        <v>6.8491496114595485E-3</v>
      </c>
      <c r="Z135" s="3">
        <f t="shared" si="9"/>
        <v>4.0491447841265234E-3</v>
      </c>
      <c r="AA135" s="3">
        <f t="shared" si="11"/>
        <v>5.7492934433362617E-3</v>
      </c>
      <c r="AB135" s="3"/>
      <c r="AC135">
        <f t="shared" si="8"/>
        <v>8451.2000000000007</v>
      </c>
      <c r="AD135">
        <f t="shared" si="10"/>
        <v>7720</v>
      </c>
    </row>
    <row r="136" spans="1:30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  <c r="X136" s="3">
        <f t="shared" si="12"/>
        <v>4.3829323252124741E-3</v>
      </c>
      <c r="Y136" s="3">
        <f t="shared" si="13"/>
        <v>4.3829323252124741E-3</v>
      </c>
      <c r="Z136" s="3">
        <f t="shared" si="9"/>
        <v>3.9240671409230968E-3</v>
      </c>
      <c r="AA136" s="3">
        <f t="shared" si="11"/>
        <v>5.727419295485623E-3</v>
      </c>
      <c r="AB136" s="3"/>
      <c r="AC136">
        <f t="shared" si="8"/>
        <v>8397.2999999999993</v>
      </c>
      <c r="AD136">
        <f t="shared" si="10"/>
        <v>7720</v>
      </c>
    </row>
    <row r="137" spans="1:30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  <c r="X137" s="3">
        <f t="shared" si="12"/>
        <v>7.4790739008419038E-3</v>
      </c>
      <c r="Y137" s="3">
        <f t="shared" si="13"/>
        <v>7.4790739008419038E-3</v>
      </c>
      <c r="Z137" s="3">
        <f t="shared" si="9"/>
        <v>3.7307848112355215E-3</v>
      </c>
      <c r="AA137" s="3">
        <f t="shared" si="11"/>
        <v>5.7252605032999749E-3</v>
      </c>
      <c r="AB137" s="3"/>
      <c r="AC137">
        <f t="shared" si="8"/>
        <v>8250.4</v>
      </c>
      <c r="AD137">
        <f t="shared" si="10"/>
        <v>7720</v>
      </c>
    </row>
    <row r="138" spans="1:30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  <c r="X138" s="3">
        <f t="shared" si="12"/>
        <v>1.1323203153987826E-3</v>
      </c>
      <c r="Y138" s="3">
        <f t="shared" si="13"/>
        <v>1.1323203153987826E-3</v>
      </c>
      <c r="Z138" s="3">
        <f t="shared" si="9"/>
        <v>3.5712360528058779E-3</v>
      </c>
      <c r="AA138" s="3">
        <f t="shared" si="11"/>
        <v>5.647125981905865E-3</v>
      </c>
      <c r="AB138" s="3"/>
      <c r="AC138">
        <f t="shared" si="8"/>
        <v>8131</v>
      </c>
      <c r="AD138">
        <f t="shared" si="10"/>
        <v>7720</v>
      </c>
    </row>
    <row r="139" spans="1:30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  <c r="X139" s="3">
        <f t="shared" si="12"/>
        <v>7.5944874525424311E-4</v>
      </c>
      <c r="Y139" s="3">
        <f t="shared" si="13"/>
        <v>7.5944874525424311E-4</v>
      </c>
      <c r="Z139" s="3">
        <f t="shared" si="9"/>
        <v>3.5070979538736353E-3</v>
      </c>
      <c r="AA139" s="3">
        <f t="shared" si="11"/>
        <v>5.497645716559748E-3</v>
      </c>
      <c r="AB139" s="3"/>
      <c r="AC139">
        <f t="shared" si="8"/>
        <v>7915.1</v>
      </c>
      <c r="AD139">
        <f t="shared" si="10"/>
        <v>7720</v>
      </c>
    </row>
    <row r="140" spans="1:30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  <c r="X140" s="3">
        <f t="shared" si="12"/>
        <v>-1.094164722222235E-3</v>
      </c>
      <c r="Y140" s="3">
        <f t="shared" si="13"/>
        <v>1.094164722222235E-3</v>
      </c>
      <c r="Z140" s="3">
        <f t="shared" si="9"/>
        <v>3.4796502227016578E-3</v>
      </c>
      <c r="AA140" s="3">
        <f t="shared" si="11"/>
        <v>5.3711126408422091E-3</v>
      </c>
      <c r="AB140" s="3"/>
      <c r="AC140">
        <f t="shared" si="8"/>
        <v>7915.1</v>
      </c>
      <c r="AD140">
        <f t="shared" si="10"/>
        <v>7720</v>
      </c>
    </row>
    <row r="141" spans="1:30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  <c r="X141" s="3">
        <f t="shared" si="12"/>
        <v>4.364839102922069E-3</v>
      </c>
      <c r="Y141" s="3">
        <f t="shared" si="13"/>
        <v>4.364839102922069E-3</v>
      </c>
      <c r="Z141" s="3">
        <f t="shared" si="9"/>
        <v>3.5230327805093869E-3</v>
      </c>
      <c r="AA141" s="3">
        <f t="shared" si="11"/>
        <v>5.1918213963403122E-3</v>
      </c>
      <c r="AB141" s="3"/>
      <c r="AC141">
        <f t="shared" si="8"/>
        <v>7915.1</v>
      </c>
      <c r="AD141">
        <f t="shared" si="10"/>
        <v>7876</v>
      </c>
    </row>
    <row r="142" spans="1:30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  <c r="X142" s="3">
        <f t="shared" si="12"/>
        <v>5.5800027777785921E-4</v>
      </c>
      <c r="Y142" s="3">
        <f t="shared" si="13"/>
        <v>5.5800027777785921E-4</v>
      </c>
      <c r="Z142" s="3">
        <f t="shared" si="9"/>
        <v>3.1908640047219237E-3</v>
      </c>
      <c r="AA142" s="3">
        <f t="shared" si="11"/>
        <v>4.9149526699644452E-3</v>
      </c>
      <c r="AB142" s="3"/>
      <c r="AC142">
        <f t="shared" si="8"/>
        <v>7744.5</v>
      </c>
      <c r="AD142">
        <f t="shared" si="10"/>
        <v>7900.5</v>
      </c>
    </row>
    <row r="143" spans="1:30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  <c r="X143" s="3">
        <f t="shared" si="12"/>
        <v>9.5187245335819348E-3</v>
      </c>
      <c r="Y143" s="3">
        <f t="shared" si="13"/>
        <v>9.5187245335819348E-3</v>
      </c>
      <c r="Z143" s="3">
        <f t="shared" si="9"/>
        <v>3.4687230079670115E-3</v>
      </c>
      <c r="AA143" s="3">
        <f t="shared" si="11"/>
        <v>4.7967812828288879E-3</v>
      </c>
      <c r="AB143" s="3"/>
      <c r="AC143">
        <f t="shared" si="8"/>
        <v>7598</v>
      </c>
      <c r="AD143">
        <f t="shared" si="10"/>
        <v>7900.5</v>
      </c>
    </row>
    <row r="144" spans="1:30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  <c r="X144" s="3">
        <f t="shared" si="12"/>
        <v>8.6674163485709332E-3</v>
      </c>
      <c r="Y144" s="3">
        <f t="shared" si="13"/>
        <v>8.6674163485709332E-3</v>
      </c>
      <c r="Z144" s="3">
        <f t="shared" si="9"/>
        <v>3.4197181716155638E-3</v>
      </c>
      <c r="AA144" s="3">
        <f t="shared" si="11"/>
        <v>4.8614438560210605E-3</v>
      </c>
      <c r="AB144" s="3"/>
      <c r="AC144">
        <f t="shared" si="8"/>
        <v>7598</v>
      </c>
      <c r="AD144">
        <f t="shared" si="10"/>
        <v>8071.1</v>
      </c>
    </row>
    <row r="145" spans="1:30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  <c r="X145" s="3">
        <f t="shared" si="12"/>
        <v>3.211141759259295E-3</v>
      </c>
      <c r="Y145" s="3">
        <f t="shared" si="13"/>
        <v>3.211141759259295E-3</v>
      </c>
      <c r="Z145" s="3">
        <f t="shared" si="9"/>
        <v>3.1951686345785268E-3</v>
      </c>
      <c r="AA145" s="3">
        <f t="shared" si="11"/>
        <v>4.5777191403864378E-3</v>
      </c>
      <c r="AB145" s="3"/>
      <c r="AC145">
        <f t="shared" si="8"/>
        <v>7598</v>
      </c>
      <c r="AD145">
        <f t="shared" si="10"/>
        <v>8071.1</v>
      </c>
    </row>
    <row r="146" spans="1:30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  <c r="X146" s="3">
        <f t="shared" si="12"/>
        <v>9.8386753731343202E-3</v>
      </c>
      <c r="Y146" s="3">
        <f t="shared" si="13"/>
        <v>9.8386753731343202E-3</v>
      </c>
      <c r="Z146" s="3">
        <f t="shared" si="9"/>
        <v>3.4559388524426932E-3</v>
      </c>
      <c r="AA146" s="3">
        <f t="shared" si="11"/>
        <v>4.621269652540675E-3</v>
      </c>
      <c r="AB146" s="3"/>
      <c r="AC146">
        <f t="shared" si="8"/>
        <v>7598</v>
      </c>
      <c r="AD146">
        <f t="shared" si="10"/>
        <v>8071.1</v>
      </c>
    </row>
    <row r="147" spans="1:30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  <c r="X147" s="3">
        <f t="shared" si="12"/>
        <v>-5.4818087316176323E-3</v>
      </c>
      <c r="Y147" s="3">
        <f t="shared" si="13"/>
        <v>5.4818087316176323E-3</v>
      </c>
      <c r="Z147" s="3">
        <f t="shared" si="9"/>
        <v>3.6014612099953269E-3</v>
      </c>
      <c r="AA147" s="3">
        <f t="shared" si="11"/>
        <v>4.4565982852422022E-3</v>
      </c>
      <c r="AB147" s="3"/>
      <c r="AC147">
        <f t="shared" si="8"/>
        <v>7598</v>
      </c>
      <c r="AD147">
        <f t="shared" si="10"/>
        <v>8131</v>
      </c>
    </row>
    <row r="148" spans="1:30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  <c r="X148" s="3">
        <f t="shared" si="12"/>
        <v>-5.0581700936294105E-3</v>
      </c>
      <c r="Y148" s="3">
        <f t="shared" si="13"/>
        <v>5.0581700936294105E-3</v>
      </c>
      <c r="Z148" s="3">
        <f t="shared" si="9"/>
        <v>3.6567944185275608E-3</v>
      </c>
      <c r="AA148" s="3">
        <f t="shared" si="11"/>
        <v>4.5160648990061171E-3</v>
      </c>
      <c r="AB148" s="3"/>
      <c r="AC148">
        <f t="shared" si="8"/>
        <v>7744.5</v>
      </c>
      <c r="AD148">
        <f t="shared" si="10"/>
        <v>8131</v>
      </c>
    </row>
    <row r="149" spans="1:30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  <c r="X149" s="3">
        <f t="shared" si="12"/>
        <v>-5.8722603956768982E-3</v>
      </c>
      <c r="Y149" s="3">
        <f t="shared" si="13"/>
        <v>5.8722603956768982E-3</v>
      </c>
      <c r="Z149" s="3">
        <f t="shared" si="9"/>
        <v>3.7033697048376815E-3</v>
      </c>
      <c r="AA149" s="3">
        <f t="shared" si="11"/>
        <v>4.520861398028566E-3</v>
      </c>
      <c r="AB149" s="3"/>
      <c r="AC149">
        <f t="shared" si="8"/>
        <v>7744.5</v>
      </c>
      <c r="AD149">
        <f t="shared" si="10"/>
        <v>8131</v>
      </c>
    </row>
    <row r="150" spans="1:30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  <c r="X150" s="3">
        <f t="shared" si="12"/>
        <v>-2.9375115377516803E-4</v>
      </c>
      <c r="Y150" s="3">
        <f t="shared" si="13"/>
        <v>2.9375115377516803E-4</v>
      </c>
      <c r="Z150" s="3">
        <f t="shared" si="9"/>
        <v>3.6823709178558151E-3</v>
      </c>
      <c r="AA150" s="3">
        <f t="shared" si="11"/>
        <v>4.4489642927116957E-3</v>
      </c>
      <c r="AB150" s="3"/>
      <c r="AC150">
        <f t="shared" si="8"/>
        <v>7744.5</v>
      </c>
      <c r="AD150">
        <f t="shared" si="10"/>
        <v>8131</v>
      </c>
    </row>
    <row r="151" spans="1:30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  <c r="X151" s="3">
        <f t="shared" si="12"/>
        <v>2.1044858777921061E-3</v>
      </c>
      <c r="Y151" s="3">
        <f t="shared" si="13"/>
        <v>2.1044858777921061E-3</v>
      </c>
      <c r="Z151" s="3">
        <f t="shared" si="9"/>
        <v>3.6718054053328248E-3</v>
      </c>
      <c r="AA151" s="3">
        <f t="shared" si="11"/>
        <v>4.440539909507291E-3</v>
      </c>
      <c r="AB151" s="3"/>
      <c r="AC151">
        <f t="shared" si="8"/>
        <v>7744.5</v>
      </c>
      <c r="AD151">
        <f t="shared" si="10"/>
        <v>8213.2000000000007</v>
      </c>
    </row>
    <row r="152" spans="1:30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  <c r="X152" s="3">
        <f t="shared" si="12"/>
        <v>8.0370883008356042E-3</v>
      </c>
      <c r="Y152" s="3">
        <f t="shared" si="13"/>
        <v>8.0370883008356042E-3</v>
      </c>
      <c r="Z152" s="3">
        <f t="shared" si="9"/>
        <v>3.8394903566060421E-3</v>
      </c>
      <c r="AA152" s="3">
        <f t="shared" si="11"/>
        <v>4.548238012994932E-3</v>
      </c>
      <c r="AB152" s="3"/>
      <c r="AC152">
        <f t="shared" si="8"/>
        <v>7629.5</v>
      </c>
      <c r="AD152">
        <f t="shared" si="10"/>
        <v>8213.2000000000007</v>
      </c>
    </row>
    <row r="153" spans="1:30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  <c r="X153" s="3">
        <f t="shared" si="12"/>
        <v>3.1091910351201957E-3</v>
      </c>
      <c r="Y153" s="3">
        <f t="shared" si="13"/>
        <v>3.1091910351201957E-3</v>
      </c>
      <c r="Z153" s="3">
        <f t="shared" si="9"/>
        <v>3.7987465962976345E-3</v>
      </c>
      <c r="AA153" s="3">
        <f t="shared" si="11"/>
        <v>4.5767218297456799E-3</v>
      </c>
      <c r="AB153" s="3"/>
      <c r="AC153">
        <f t="shared" si="8"/>
        <v>7946.6</v>
      </c>
      <c r="AD153">
        <f t="shared" si="10"/>
        <v>8318.7999999999993</v>
      </c>
    </row>
    <row r="154" spans="1:30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  <c r="X154" s="3">
        <f t="shared" si="12"/>
        <v>5.6144638888888654E-3</v>
      </c>
      <c r="Y154" s="3">
        <f t="shared" si="13"/>
        <v>5.6144638888888654E-3</v>
      </c>
      <c r="Z154" s="3">
        <f t="shared" si="9"/>
        <v>3.7784729825051841E-3</v>
      </c>
      <c r="AA154" s="3">
        <f t="shared" si="11"/>
        <v>4.5951613970721065E-3</v>
      </c>
      <c r="AB154" s="3"/>
      <c r="AC154">
        <f t="shared" si="8"/>
        <v>7946.6</v>
      </c>
      <c r="AD154">
        <f t="shared" si="10"/>
        <v>8397.2999999999993</v>
      </c>
    </row>
    <row r="155" spans="1:30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  <c r="X155" s="3">
        <f t="shared" si="12"/>
        <v>1.3162743093924067E-3</v>
      </c>
      <c r="Y155" s="3">
        <f t="shared" si="13"/>
        <v>1.3162743093924067E-3</v>
      </c>
      <c r="Z155" s="3">
        <f t="shared" si="9"/>
        <v>3.7612361561872123E-3</v>
      </c>
      <c r="AA155" s="3">
        <f t="shared" si="11"/>
        <v>4.5585410740428319E-3</v>
      </c>
      <c r="AB155" s="3"/>
      <c r="AC155">
        <f t="shared" si="8"/>
        <v>7629.5</v>
      </c>
      <c r="AD155">
        <f t="shared" si="10"/>
        <v>8397.2999999999993</v>
      </c>
    </row>
    <row r="156" spans="1:30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  <c r="X156" s="3">
        <f t="shared" si="12"/>
        <v>-5.5219431318681567E-3</v>
      </c>
      <c r="Y156" s="3">
        <f t="shared" si="13"/>
        <v>5.5219431318681567E-3</v>
      </c>
      <c r="Z156" s="3">
        <f t="shared" si="9"/>
        <v>3.868162491402009E-3</v>
      </c>
      <c r="AA156" s="3">
        <f t="shared" si="11"/>
        <v>4.5606201560585867E-3</v>
      </c>
      <c r="AB156" s="3"/>
      <c r="AC156">
        <f t="shared" si="8"/>
        <v>7946.6</v>
      </c>
      <c r="AD156">
        <f t="shared" si="10"/>
        <v>8397.2999999999993</v>
      </c>
    </row>
    <row r="157" spans="1:30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  <c r="X157" s="3">
        <f t="shared" si="12"/>
        <v>-4.0146789058196353E-3</v>
      </c>
      <c r="Y157" s="3">
        <f t="shared" si="13"/>
        <v>4.0146789058196353E-3</v>
      </c>
      <c r="Z157" s="3">
        <f t="shared" si="9"/>
        <v>3.9746298962873555E-3</v>
      </c>
      <c r="AA157" s="3">
        <f t="shared" si="11"/>
        <v>4.5857542368446377E-3</v>
      </c>
      <c r="AB157" s="3"/>
      <c r="AC157">
        <f t="shared" si="8"/>
        <v>7946.6</v>
      </c>
      <c r="AD157">
        <f t="shared" si="10"/>
        <v>8451.2000000000007</v>
      </c>
    </row>
    <row r="158" spans="1:30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  <c r="X158" s="3">
        <f t="shared" si="12"/>
        <v>-4.0382268599211679E-3</v>
      </c>
      <c r="Y158" s="3">
        <f t="shared" si="13"/>
        <v>4.0382268599211679E-3</v>
      </c>
      <c r="Z158" s="3">
        <f t="shared" si="9"/>
        <v>3.9788759785978102E-3</v>
      </c>
      <c r="AA158" s="3">
        <f t="shared" si="11"/>
        <v>4.3556746925112709E-3</v>
      </c>
      <c r="AB158" s="3"/>
      <c r="AC158">
        <f t="shared" si="8"/>
        <v>7946.6</v>
      </c>
      <c r="AD158">
        <f t="shared" si="10"/>
        <v>8451.2000000000007</v>
      </c>
    </row>
    <row r="159" spans="1:30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  <c r="X159" s="3">
        <f t="shared" si="12"/>
        <v>3.73745275699644E-3</v>
      </c>
      <c r="Y159" s="3">
        <f t="shared" si="13"/>
        <v>3.73745275699644E-3</v>
      </c>
      <c r="Z159" s="3">
        <f t="shared" si="9"/>
        <v>4.0513378955263002E-3</v>
      </c>
      <c r="AA159" s="3">
        <f t="shared" si="11"/>
        <v>4.3159202181169238E-3</v>
      </c>
      <c r="AB159" s="3"/>
      <c r="AC159">
        <f t="shared" si="8"/>
        <v>8236.6</v>
      </c>
      <c r="AD159">
        <f t="shared" si="10"/>
        <v>8522.9</v>
      </c>
    </row>
    <row r="160" spans="1:30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  <c r="X160" s="3">
        <f t="shared" si="12"/>
        <v>-1.3948470642201061E-3</v>
      </c>
      <c r="Y160" s="3">
        <f t="shared" si="13"/>
        <v>1.3948470642201061E-3</v>
      </c>
      <c r="Z160" s="3">
        <f t="shared" si="9"/>
        <v>4.0269961310003084E-3</v>
      </c>
      <c r="AA160" s="3">
        <f t="shared" si="11"/>
        <v>4.3123416508878427E-3</v>
      </c>
      <c r="AB160" s="3"/>
      <c r="AC160">
        <f t="shared" ref="AC160:AC220" si="14">MEDIAN(E131:E160)</f>
        <v>8429</v>
      </c>
      <c r="AD160">
        <f t="shared" si="10"/>
        <v>8482.9</v>
      </c>
    </row>
    <row r="161" spans="1:30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  <c r="X161" s="3">
        <f t="shared" si="12"/>
        <v>5.1027189024952513E-3</v>
      </c>
      <c r="Y161" s="3">
        <f t="shared" si="13"/>
        <v>5.1027189024952513E-3</v>
      </c>
      <c r="Z161" s="3">
        <f t="shared" ref="Z161:Z224" si="15">AVERAGE(Y132:Y161)</f>
        <v>4.1459259496840709E-3</v>
      </c>
      <c r="AA161" s="3">
        <f t="shared" si="11"/>
        <v>4.3703970649860329E-3</v>
      </c>
      <c r="AB161" s="3"/>
      <c r="AC161">
        <f t="shared" si="14"/>
        <v>8429</v>
      </c>
      <c r="AD161">
        <f t="shared" si="10"/>
        <v>8482.9</v>
      </c>
    </row>
    <row r="162" spans="1:30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  <c r="X162" s="3">
        <f t="shared" si="12"/>
        <v>2.649030275229336E-3</v>
      </c>
      <c r="Y162" s="3">
        <f t="shared" si="13"/>
        <v>2.649030275229336E-3</v>
      </c>
      <c r="Z162" s="3">
        <f t="shared" si="15"/>
        <v>4.0795438702586288E-3</v>
      </c>
      <c r="AA162" s="3">
        <f t="shared" si="11"/>
        <v>4.3926228730323076E-3</v>
      </c>
      <c r="AB162" s="3"/>
      <c r="AC162">
        <f t="shared" si="14"/>
        <v>8690</v>
      </c>
      <c r="AD162">
        <f t="shared" si="10"/>
        <v>8482.9</v>
      </c>
    </row>
    <row r="163" spans="1:30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  <c r="X163" s="3">
        <f t="shared" si="12"/>
        <v>4.9887350537238806E-3</v>
      </c>
      <c r="Y163" s="3">
        <f t="shared" si="13"/>
        <v>4.9887350537238806E-3</v>
      </c>
      <c r="Z163" s="3">
        <f t="shared" si="15"/>
        <v>4.2105117569611805E-3</v>
      </c>
      <c r="AA163" s="3">
        <f t="shared" si="11"/>
        <v>4.3586566823980658E-3</v>
      </c>
      <c r="AB163" s="3"/>
      <c r="AC163">
        <f t="shared" si="14"/>
        <v>8690</v>
      </c>
      <c r="AD163">
        <f t="shared" si="10"/>
        <v>8542</v>
      </c>
    </row>
    <row r="164" spans="1:30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  <c r="X164" s="3">
        <f t="shared" si="12"/>
        <v>3.7143736263736127E-3</v>
      </c>
      <c r="Y164" s="3">
        <f t="shared" si="13"/>
        <v>3.7143736263736127E-3</v>
      </c>
      <c r="Z164" s="3">
        <f t="shared" si="15"/>
        <v>4.3301795793003828E-3</v>
      </c>
      <c r="AA164" s="3">
        <f t="shared" si="11"/>
        <v>4.1363050561136535E-3</v>
      </c>
      <c r="AB164" s="3"/>
      <c r="AC164">
        <f t="shared" si="14"/>
        <v>8690</v>
      </c>
      <c r="AD164">
        <f t="shared" si="10"/>
        <v>8542</v>
      </c>
    </row>
    <row r="165" spans="1:30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  <c r="X165" s="3">
        <f t="shared" si="12"/>
        <v>5.9898948044796452E-3</v>
      </c>
      <c r="Y165" s="3">
        <f t="shared" si="13"/>
        <v>5.9898948044796452E-3</v>
      </c>
      <c r="Z165" s="3">
        <f t="shared" si="15"/>
        <v>4.3015377524010523E-3</v>
      </c>
      <c r="AA165" s="3">
        <f t="shared" si="11"/>
        <v>4.1753412682637879E-3</v>
      </c>
      <c r="AB165" s="3"/>
      <c r="AC165">
        <f t="shared" si="14"/>
        <v>9725.5</v>
      </c>
      <c r="AD165">
        <f t="shared" si="10"/>
        <v>8542</v>
      </c>
    </row>
    <row r="166" spans="1:30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  <c r="X166" s="3">
        <f t="shared" si="12"/>
        <v>2.2575100922459512E-3</v>
      </c>
      <c r="Y166" s="3">
        <f t="shared" si="13"/>
        <v>2.2575100922459512E-3</v>
      </c>
      <c r="Z166" s="3">
        <f t="shared" si="15"/>
        <v>4.2306903446355012E-3</v>
      </c>
      <c r="AA166" s="3">
        <f t="shared" si="11"/>
        <v>4.0773787427792994E-3</v>
      </c>
      <c r="AB166" s="3"/>
      <c r="AC166">
        <f t="shared" si="14"/>
        <v>10866.15</v>
      </c>
      <c r="AD166">
        <f t="shared" si="10"/>
        <v>8542</v>
      </c>
    </row>
    <row r="167" spans="1:30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  <c r="X167" s="3">
        <f t="shared" si="12"/>
        <v>1.6897658175842878E-3</v>
      </c>
      <c r="Y167" s="3">
        <f t="shared" si="13"/>
        <v>1.6897658175842878E-3</v>
      </c>
      <c r="Z167" s="3">
        <f t="shared" si="15"/>
        <v>4.0377134085269146E-3</v>
      </c>
      <c r="AA167" s="3">
        <f t="shared" si="11"/>
        <v>3.8842491098812176E-3</v>
      </c>
      <c r="AB167" s="3"/>
      <c r="AC167">
        <f t="shared" si="14"/>
        <v>11249.65</v>
      </c>
      <c r="AD167">
        <f t="shared" si="10"/>
        <v>8652.85</v>
      </c>
    </row>
    <row r="168" spans="1:30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  <c r="X168" s="3">
        <f t="shared" si="12"/>
        <v>1.2917459016392741E-4</v>
      </c>
      <c r="Y168" s="3">
        <f t="shared" si="13"/>
        <v>1.2917459016392741E-4</v>
      </c>
      <c r="Z168" s="3">
        <f t="shared" si="15"/>
        <v>4.0042752176857521E-3</v>
      </c>
      <c r="AA168" s="3">
        <f t="shared" si="11"/>
        <v>3.7877556352458154E-3</v>
      </c>
      <c r="AB168" s="3"/>
      <c r="AC168">
        <f t="shared" si="14"/>
        <v>11249.65</v>
      </c>
      <c r="AD168">
        <f t="shared" si="10"/>
        <v>8652.85</v>
      </c>
    </row>
    <row r="169" spans="1:30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  <c r="X169" s="3">
        <f t="shared" si="12"/>
        <v>7.2244480874328332E-4</v>
      </c>
      <c r="Y169" s="3">
        <f t="shared" si="13"/>
        <v>7.2244480874328332E-4</v>
      </c>
      <c r="Z169" s="3">
        <f t="shared" si="15"/>
        <v>4.0030417531353871E-3</v>
      </c>
      <c r="AA169" s="3">
        <f t="shared" si="11"/>
        <v>3.7550698535045112E-3</v>
      </c>
      <c r="AB169" s="3"/>
      <c r="AC169">
        <f t="shared" si="14"/>
        <v>11347.4</v>
      </c>
      <c r="AD169">
        <f t="shared" si="10"/>
        <v>8652.85</v>
      </c>
    </row>
    <row r="170" spans="1:30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  <c r="X170" s="3">
        <f t="shared" si="12"/>
        <v>9.0290408061144412E-4</v>
      </c>
      <c r="Y170" s="3">
        <f t="shared" si="13"/>
        <v>9.0290408061144412E-4</v>
      </c>
      <c r="Z170" s="3">
        <f t="shared" si="15"/>
        <v>3.9966663984150278E-3</v>
      </c>
      <c r="AA170" s="3">
        <f t="shared" si="11"/>
        <v>3.7381583105583426E-3</v>
      </c>
      <c r="AB170" s="3"/>
      <c r="AC170">
        <f t="shared" si="14"/>
        <v>12178.75</v>
      </c>
      <c r="AD170">
        <f t="shared" si="10"/>
        <v>8730</v>
      </c>
    </row>
    <row r="171" spans="1:30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  <c r="X171" s="3">
        <f t="shared" si="12"/>
        <v>2.6589160291439207E-3</v>
      </c>
      <c r="Y171" s="3">
        <f t="shared" si="13"/>
        <v>2.6589160291439207E-3</v>
      </c>
      <c r="Z171" s="3">
        <f t="shared" si="15"/>
        <v>3.9398022959557556E-3</v>
      </c>
      <c r="AA171" s="3">
        <f t="shared" si="11"/>
        <v>3.7314175382325713E-3</v>
      </c>
      <c r="AB171" s="3"/>
      <c r="AC171">
        <f t="shared" si="14"/>
        <v>12539.9</v>
      </c>
      <c r="AD171">
        <f t="shared" si="10"/>
        <v>8730</v>
      </c>
    </row>
    <row r="172" spans="1:30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  <c r="X172" s="3">
        <f t="shared" si="12"/>
        <v>-2.9259636396526956E-3</v>
      </c>
      <c r="Y172" s="3">
        <f t="shared" si="13"/>
        <v>2.9259636396526956E-3</v>
      </c>
      <c r="Z172" s="3">
        <f t="shared" si="15"/>
        <v>4.0187344080182506E-3</v>
      </c>
      <c r="AA172" s="3">
        <f t="shared" si="11"/>
        <v>3.6047992063700869E-3</v>
      </c>
      <c r="AB172" s="3"/>
      <c r="AC172">
        <f t="shared" si="14"/>
        <v>14971.65</v>
      </c>
      <c r="AD172">
        <f t="shared" si="10"/>
        <v>8730</v>
      </c>
    </row>
    <row r="173" spans="1:30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  <c r="X173" s="3">
        <f t="shared" si="12"/>
        <v>-5.3432853025936478E-3</v>
      </c>
      <c r="Y173" s="3">
        <f t="shared" si="13"/>
        <v>5.3432853025936478E-3</v>
      </c>
      <c r="Z173" s="3">
        <f t="shared" si="15"/>
        <v>3.879553100318641E-3</v>
      </c>
      <c r="AA173" s="3">
        <f t="shared" si="11"/>
        <v>3.6741380541428265E-3</v>
      </c>
      <c r="AB173" s="3"/>
      <c r="AC173">
        <f t="shared" si="14"/>
        <v>14971.65</v>
      </c>
      <c r="AD173">
        <f t="shared" si="10"/>
        <v>8730</v>
      </c>
    </row>
    <row r="174" spans="1:30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  <c r="X174" s="3">
        <f t="shared" si="12"/>
        <v>-1.6837761066666679E-2</v>
      </c>
      <c r="Y174" s="3">
        <f t="shared" si="13"/>
        <v>1.6837761066666679E-2</v>
      </c>
      <c r="Z174" s="3">
        <f t="shared" si="15"/>
        <v>4.1518979242551653E-3</v>
      </c>
      <c r="AA174" s="3">
        <f t="shared" si="11"/>
        <v>3.7858080479353648E-3</v>
      </c>
      <c r="AB174" s="3"/>
      <c r="AC174">
        <f t="shared" si="14"/>
        <v>12539.9</v>
      </c>
      <c r="AD174">
        <f t="shared" si="10"/>
        <v>8542</v>
      </c>
    </row>
    <row r="175" spans="1:30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  <c r="X175" s="3">
        <f t="shared" si="12"/>
        <v>-6.2168973021583529E-3</v>
      </c>
      <c r="Y175" s="3">
        <f t="shared" si="13"/>
        <v>6.2168973021583529E-3</v>
      </c>
      <c r="Z175" s="3">
        <f t="shared" si="15"/>
        <v>4.2520897756851339E-3</v>
      </c>
      <c r="AA175" s="3">
        <f t="shared" si="11"/>
        <v>3.7236292051318304E-3</v>
      </c>
      <c r="AB175" s="3"/>
      <c r="AC175">
        <f t="shared" si="14"/>
        <v>16880.400000000001</v>
      </c>
      <c r="AD175">
        <f t="shared" si="10"/>
        <v>8730</v>
      </c>
    </row>
    <row r="176" spans="1:30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  <c r="X176" s="3">
        <f t="shared" si="12"/>
        <v>-3.2380991906475476E-3</v>
      </c>
      <c r="Y176" s="3">
        <f t="shared" si="13"/>
        <v>3.2380991906475476E-3</v>
      </c>
      <c r="Z176" s="3">
        <f t="shared" si="15"/>
        <v>4.0320705696022417E-3</v>
      </c>
      <c r="AA176" s="3">
        <f t="shared" si="11"/>
        <v>3.7440047110224675E-3</v>
      </c>
      <c r="AB176" s="3"/>
      <c r="AC176">
        <f t="shared" si="14"/>
        <v>16880.400000000001</v>
      </c>
      <c r="AD176">
        <f t="shared" si="10"/>
        <v>8885.9</v>
      </c>
    </row>
    <row r="177" spans="1:31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  <c r="X177" s="3">
        <f t="shared" si="12"/>
        <v>9.4191914087171646E-4</v>
      </c>
      <c r="Y177" s="3">
        <f t="shared" si="13"/>
        <v>9.4191914087171646E-4</v>
      </c>
      <c r="Z177" s="3">
        <f t="shared" si="15"/>
        <v>3.8807409165773779E-3</v>
      </c>
      <c r="AA177" s="3">
        <f t="shared" si="11"/>
        <v>3.7411010632863524E-3</v>
      </c>
      <c r="AB177" s="3"/>
      <c r="AC177">
        <f t="shared" si="14"/>
        <v>16880.400000000001</v>
      </c>
      <c r="AD177">
        <f t="shared" si="10"/>
        <v>9733.4</v>
      </c>
    </row>
    <row r="178" spans="1:31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  <c r="X178" s="3">
        <f t="shared" si="12"/>
        <v>-9.5107230215829563E-4</v>
      </c>
      <c r="Y178" s="3">
        <f t="shared" si="13"/>
        <v>9.5107230215829563E-4</v>
      </c>
      <c r="Z178" s="3">
        <f t="shared" si="15"/>
        <v>3.7438376568616743E-3</v>
      </c>
      <c r="AA178" s="3">
        <f t="shared" si="11"/>
        <v>3.7003160376946178E-3</v>
      </c>
      <c r="AB178" s="3"/>
      <c r="AC178">
        <f t="shared" si="14"/>
        <v>13701.3</v>
      </c>
      <c r="AD178">
        <f t="shared" si="10"/>
        <v>10623.9</v>
      </c>
    </row>
    <row r="179" spans="1:31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  <c r="X179" s="3">
        <f t="shared" si="12"/>
        <v>-1.2563274280575909E-3</v>
      </c>
      <c r="Y179" s="3">
        <f t="shared" si="13"/>
        <v>1.2563274280575909E-3</v>
      </c>
      <c r="Z179" s="3">
        <f t="shared" si="15"/>
        <v>3.5899732246076972E-3</v>
      </c>
      <c r="AA179" s="3">
        <f t="shared" si="11"/>
        <v>3.6466714647226894E-3</v>
      </c>
      <c r="AB179" s="3"/>
      <c r="AC179">
        <f t="shared" si="14"/>
        <v>16036.1</v>
      </c>
      <c r="AD179">
        <f t="shared" si="10"/>
        <v>10623.9</v>
      </c>
    </row>
    <row r="180" spans="1:31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  <c r="X180" s="3">
        <f t="shared" si="12"/>
        <v>5.6057721816049622E-4</v>
      </c>
      <c r="Y180" s="3">
        <f t="shared" si="13"/>
        <v>5.6057721816049622E-4</v>
      </c>
      <c r="Z180" s="3">
        <f t="shared" si="15"/>
        <v>3.5988674267538748E-3</v>
      </c>
      <c r="AA180" s="3">
        <f t="shared" si="11"/>
        <v>3.6406191723048448E-3</v>
      </c>
      <c r="AB180" s="3"/>
      <c r="AC180">
        <f t="shared" si="14"/>
        <v>16036.1</v>
      </c>
      <c r="AD180">
        <f t="shared" si="10"/>
        <v>10623.9</v>
      </c>
    </row>
    <row r="181" spans="1:31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  <c r="X181" s="3">
        <f t="shared" si="12"/>
        <v>-2.4901118918918552E-3</v>
      </c>
      <c r="Y181" s="3">
        <f t="shared" si="13"/>
        <v>2.4901118918918552E-3</v>
      </c>
      <c r="Z181" s="3">
        <f t="shared" si="15"/>
        <v>3.6117216272238666E-3</v>
      </c>
      <c r="AA181" s="3">
        <f t="shared" si="11"/>
        <v>3.6417635162783457E-3</v>
      </c>
      <c r="AB181" s="3"/>
      <c r="AC181">
        <f t="shared" si="14"/>
        <v>19191.5</v>
      </c>
      <c r="AD181">
        <f t="shared" si="10"/>
        <v>10623.9</v>
      </c>
      <c r="AE181">
        <f>MEDIAN(E2:E181)</f>
        <v>8131</v>
      </c>
    </row>
    <row r="182" spans="1:31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  <c r="X182" s="3">
        <f t="shared" si="12"/>
        <v>-1.0386702152466398E-2</v>
      </c>
      <c r="Y182" s="3">
        <f t="shared" si="13"/>
        <v>1.0386702152466398E-2</v>
      </c>
      <c r="Z182" s="3">
        <f t="shared" si="15"/>
        <v>3.6900420889448928E-3</v>
      </c>
      <c r="AA182" s="3">
        <f t="shared" si="11"/>
        <v>3.7647662227754675E-3</v>
      </c>
      <c r="AB182" s="3">
        <f>AVERAGE(Y3:Y182)</f>
        <v>5.7363833247174433E-3</v>
      </c>
      <c r="AC182">
        <f t="shared" si="14"/>
        <v>19191.5</v>
      </c>
      <c r="AD182">
        <f t="shared" si="10"/>
        <v>10623.9</v>
      </c>
      <c r="AE182">
        <f t="shared" ref="AE182:AE245" si="16">MEDIAN(E3:E182)</f>
        <v>8131</v>
      </c>
    </row>
    <row r="183" spans="1:31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  <c r="X183" s="3">
        <f t="shared" si="12"/>
        <v>3.5939809212319762E-3</v>
      </c>
      <c r="Y183" s="3">
        <f t="shared" si="13"/>
        <v>3.5939809212319762E-3</v>
      </c>
      <c r="Z183" s="3">
        <f t="shared" si="15"/>
        <v>3.7062017518152855E-3</v>
      </c>
      <c r="AA183" s="3">
        <f t="shared" si="11"/>
        <v>3.7524741740564602E-3</v>
      </c>
      <c r="AB183" s="3">
        <f t="shared" ref="AB183:AB246" si="17">AVERAGE(Y4:Y183)</f>
        <v>5.6896944840500513E-3</v>
      </c>
      <c r="AC183">
        <f t="shared" si="14"/>
        <v>19191.5</v>
      </c>
      <c r="AD183">
        <f t="shared" si="10"/>
        <v>10917.05</v>
      </c>
      <c r="AE183">
        <f t="shared" si="16"/>
        <v>8131</v>
      </c>
    </row>
    <row r="184" spans="1:31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  <c r="X184" s="3">
        <f t="shared" si="12"/>
        <v>-4.5382552252252184E-3</v>
      </c>
      <c r="Y184" s="3">
        <f t="shared" si="13"/>
        <v>4.5382552252252184E-3</v>
      </c>
      <c r="Z184" s="3">
        <f t="shared" si="15"/>
        <v>3.6703281296931642E-3</v>
      </c>
      <c r="AA184" s="3">
        <f t="shared" si="11"/>
        <v>3.7244005560991742E-3</v>
      </c>
      <c r="AB184" s="3">
        <f t="shared" si="17"/>
        <v>5.6647118707278147E-3</v>
      </c>
      <c r="AC184">
        <f t="shared" si="14"/>
        <v>19191.5</v>
      </c>
      <c r="AD184">
        <f t="shared" si="10"/>
        <v>11249.65</v>
      </c>
      <c r="AE184">
        <f t="shared" si="16"/>
        <v>8131</v>
      </c>
    </row>
    <row r="185" spans="1:31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  <c r="X185" s="3">
        <f t="shared" si="12"/>
        <v>-4.2151228718134703E-3</v>
      </c>
      <c r="Y185" s="3">
        <f t="shared" si="13"/>
        <v>4.2151228718134703E-3</v>
      </c>
      <c r="Z185" s="3">
        <f t="shared" si="15"/>
        <v>3.7669564151071996E-3</v>
      </c>
      <c r="AA185" s="3">
        <f t="shared" si="11"/>
        <v>3.7640962856472062E-3</v>
      </c>
      <c r="AB185" s="3">
        <f t="shared" si="17"/>
        <v>5.6268151798081444E-3</v>
      </c>
      <c r="AC185">
        <f t="shared" si="14"/>
        <v>19191.5</v>
      </c>
      <c r="AD185">
        <f t="shared" si="10"/>
        <v>11021.7</v>
      </c>
      <c r="AE185">
        <f t="shared" si="16"/>
        <v>8131</v>
      </c>
    </row>
    <row r="186" spans="1:31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  <c r="X186" s="3">
        <f t="shared" si="12"/>
        <v>-3.5203357355193532E-3</v>
      </c>
      <c r="Y186" s="3">
        <f t="shared" si="13"/>
        <v>3.5203357355193532E-3</v>
      </c>
      <c r="Z186" s="3">
        <f t="shared" si="15"/>
        <v>3.7002361685622392E-3</v>
      </c>
      <c r="AA186" s="3">
        <f t="shared" si="11"/>
        <v>3.7841993299821243E-3</v>
      </c>
      <c r="AB186" s="3">
        <f t="shared" si="17"/>
        <v>5.5733542410928349E-3</v>
      </c>
      <c r="AC186">
        <f t="shared" si="14"/>
        <v>19191.5</v>
      </c>
      <c r="AD186">
        <f t="shared" si="10"/>
        <v>11249.65</v>
      </c>
      <c r="AE186">
        <f t="shared" si="16"/>
        <v>8131</v>
      </c>
    </row>
    <row r="187" spans="1:31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  <c r="X187" s="3">
        <f t="shared" si="12"/>
        <v>-3.548786415638383E-3</v>
      </c>
      <c r="Y187" s="3">
        <f t="shared" si="13"/>
        <v>3.548786415638383E-3</v>
      </c>
      <c r="Z187" s="3">
        <f t="shared" si="15"/>
        <v>3.684706418889531E-3</v>
      </c>
      <c r="AA187" s="3">
        <f t="shared" si="11"/>
        <v>3.8296681575884432E-3</v>
      </c>
      <c r="AB187" s="3">
        <f t="shared" si="17"/>
        <v>5.5136865464523871E-3</v>
      </c>
      <c r="AC187">
        <f t="shared" si="14"/>
        <v>19191.5</v>
      </c>
      <c r="AD187">
        <f t="shared" si="10"/>
        <v>11249.65</v>
      </c>
      <c r="AE187">
        <f t="shared" si="16"/>
        <v>8131</v>
      </c>
    </row>
    <row r="188" spans="1:31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  <c r="X188" s="3">
        <f t="shared" si="12"/>
        <v>-3.6890804142278855E-3</v>
      </c>
      <c r="Y188" s="3">
        <f t="shared" si="13"/>
        <v>3.6890804142278855E-3</v>
      </c>
      <c r="Z188" s="3">
        <f t="shared" si="15"/>
        <v>3.6730682040330884E-3</v>
      </c>
      <c r="AA188" s="3">
        <f t="shared" si="11"/>
        <v>3.8259720913154495E-3</v>
      </c>
      <c r="AB188" s="3">
        <f t="shared" si="17"/>
        <v>5.4759357201750502E-3</v>
      </c>
      <c r="AC188">
        <f t="shared" si="14"/>
        <v>19191.5</v>
      </c>
      <c r="AD188">
        <f t="shared" si="10"/>
        <v>11249.65</v>
      </c>
      <c r="AE188">
        <f t="shared" si="16"/>
        <v>8131</v>
      </c>
    </row>
    <row r="189" spans="1:31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  <c r="X189" s="3">
        <f t="shared" si="12"/>
        <v>-5.8909727836161663E-3</v>
      </c>
      <c r="Y189" s="3">
        <f t="shared" si="13"/>
        <v>5.8909727836161663E-3</v>
      </c>
      <c r="Z189" s="3">
        <f t="shared" si="15"/>
        <v>3.7448522049204126E-3</v>
      </c>
      <c r="AA189" s="3">
        <f t="shared" si="11"/>
        <v>3.8980950502233566E-3</v>
      </c>
      <c r="AB189" s="3">
        <f t="shared" si="17"/>
        <v>5.4562894407291767E-3</v>
      </c>
      <c r="AC189">
        <f t="shared" si="14"/>
        <v>19191.5</v>
      </c>
      <c r="AD189">
        <f t="shared" si="10"/>
        <v>11347.4</v>
      </c>
      <c r="AE189">
        <f t="shared" si="16"/>
        <v>8131</v>
      </c>
    </row>
    <row r="190" spans="1:31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  <c r="X190" s="3">
        <f t="shared" si="12"/>
        <v>-6.9286391206818676E-3</v>
      </c>
      <c r="Y190" s="3">
        <f t="shared" si="13"/>
        <v>6.9286391206818676E-3</v>
      </c>
      <c r="Z190" s="3">
        <f t="shared" si="15"/>
        <v>3.9293119401358047E-3</v>
      </c>
      <c r="AA190" s="3">
        <f t="shared" si="11"/>
        <v>3.9781540355680566E-3</v>
      </c>
      <c r="AB190" s="3">
        <f t="shared" si="17"/>
        <v>5.4257162484802413E-3</v>
      </c>
      <c r="AC190">
        <f t="shared" si="14"/>
        <v>19191.5</v>
      </c>
      <c r="AD190">
        <f t="shared" ref="AD190:AD253" si="18">MEDIAN(E131:E190)</f>
        <v>11522.05</v>
      </c>
      <c r="AE190">
        <f t="shared" si="16"/>
        <v>8152.4</v>
      </c>
    </row>
    <row r="191" spans="1:31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  <c r="X191" s="3">
        <f t="shared" si="12"/>
        <v>-7.1192541476100546E-3</v>
      </c>
      <c r="Y191" s="3">
        <f t="shared" si="13"/>
        <v>7.1192541476100546E-3</v>
      </c>
      <c r="Z191" s="3">
        <f t="shared" si="15"/>
        <v>3.996529781639631E-3</v>
      </c>
      <c r="AA191" s="3">
        <f t="shared" ref="AA191:AA254" si="19">AVERAGE(Y132:Y191)</f>
        <v>4.0712278656618505E-3</v>
      </c>
      <c r="AB191" s="3">
        <f t="shared" si="17"/>
        <v>5.4448563203520354E-3</v>
      </c>
      <c r="AC191">
        <f t="shared" si="14"/>
        <v>20234.699999999997</v>
      </c>
      <c r="AD191">
        <f t="shared" si="18"/>
        <v>12346</v>
      </c>
      <c r="AE191">
        <f t="shared" si="16"/>
        <v>8188.4250000000002</v>
      </c>
    </row>
    <row r="192" spans="1:31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  <c r="X192" s="3">
        <f t="shared" si="12"/>
        <v>-9.2990018810461539E-3</v>
      </c>
      <c r="Y192" s="3">
        <f t="shared" si="13"/>
        <v>9.2990018810461539E-3</v>
      </c>
      <c r="Z192" s="3">
        <f t="shared" si="15"/>
        <v>4.2181955018335254E-3</v>
      </c>
      <c r="AA192" s="3">
        <f t="shared" si="19"/>
        <v>4.1488696860460771E-3</v>
      </c>
      <c r="AB192" s="3">
        <f t="shared" si="17"/>
        <v>5.4721231689062932E-3</v>
      </c>
      <c r="AC192">
        <f t="shared" si="14"/>
        <v>20698.900000000001</v>
      </c>
      <c r="AD192">
        <f t="shared" si="18"/>
        <v>13340.150000000001</v>
      </c>
      <c r="AE192">
        <f t="shared" si="16"/>
        <v>8188.4250000000002</v>
      </c>
    </row>
    <row r="193" spans="1:31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  <c r="X193" s="3">
        <f t="shared" si="12"/>
        <v>-6.38922371967654E-3</v>
      </c>
      <c r="Y193" s="3">
        <f t="shared" si="13"/>
        <v>6.38922371967654E-3</v>
      </c>
      <c r="Z193" s="3">
        <f t="shared" si="15"/>
        <v>4.2648784573652808E-3</v>
      </c>
      <c r="AA193" s="3">
        <f t="shared" si="19"/>
        <v>4.2376951071632311E-3</v>
      </c>
      <c r="AB193" s="3">
        <f t="shared" si="17"/>
        <v>5.4488285995760669E-3</v>
      </c>
      <c r="AC193">
        <f t="shared" si="14"/>
        <v>21211.72</v>
      </c>
      <c r="AD193">
        <f t="shared" si="18"/>
        <v>13340.150000000001</v>
      </c>
      <c r="AE193">
        <f t="shared" si="16"/>
        <v>8249.2250000000004</v>
      </c>
    </row>
    <row r="194" spans="1:31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  <c r="X194" s="3">
        <f t="shared" si="12"/>
        <v>-1.1301239803219953E-2</v>
      </c>
      <c r="Y194" s="3">
        <f t="shared" si="13"/>
        <v>1.1301239803219953E-2</v>
      </c>
      <c r="Z194" s="3">
        <f t="shared" si="15"/>
        <v>4.5177739965934919E-3</v>
      </c>
      <c r="AA194" s="3">
        <f t="shared" si="19"/>
        <v>4.4239767879469373E-3</v>
      </c>
      <c r="AB194" s="3">
        <f t="shared" si="17"/>
        <v>5.493464127000372E-3</v>
      </c>
      <c r="AC194">
        <f t="shared" si="14"/>
        <v>21996.120000000003</v>
      </c>
      <c r="AD194">
        <f t="shared" si="18"/>
        <v>13701.3</v>
      </c>
      <c r="AE194">
        <f t="shared" si="16"/>
        <v>8318.7999999999993</v>
      </c>
    </row>
    <row r="195" spans="1:31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  <c r="X195" s="3">
        <f t="shared" si="12"/>
        <v>-1.1580112075134097E-2</v>
      </c>
      <c r="Y195" s="3">
        <f t="shared" si="13"/>
        <v>1.1580112075134097E-2</v>
      </c>
      <c r="Z195" s="3">
        <f t="shared" si="15"/>
        <v>4.7041145722819732E-3</v>
      </c>
      <c r="AA195" s="3">
        <f t="shared" si="19"/>
        <v>4.5028261623415132E-3</v>
      </c>
      <c r="AB195" s="3">
        <f t="shared" si="17"/>
        <v>5.512388138282468E-3</v>
      </c>
      <c r="AC195">
        <f t="shared" si="14"/>
        <v>21996.120000000003</v>
      </c>
      <c r="AD195">
        <f t="shared" si="18"/>
        <v>13939.3</v>
      </c>
      <c r="AE195">
        <f t="shared" si="16"/>
        <v>8318.7999999999993</v>
      </c>
    </row>
    <row r="196" spans="1:31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  <c r="X196" s="3">
        <f t="shared" ref="X196:X259" si="20">B196/U196-1</f>
        <v>-7.4383404312667878E-3</v>
      </c>
      <c r="Y196" s="3">
        <f t="shared" ref="Y196:Y259" si="21">ABS(X196)</f>
        <v>7.4383404312667878E-3</v>
      </c>
      <c r="Z196" s="3">
        <f t="shared" si="15"/>
        <v>4.8768089169160013E-3</v>
      </c>
      <c r="AA196" s="3">
        <f t="shared" si="19"/>
        <v>4.5537496307757512E-3</v>
      </c>
      <c r="AB196" s="3">
        <f t="shared" si="17"/>
        <v>5.4996545941318484E-3</v>
      </c>
      <c r="AC196">
        <f t="shared" si="14"/>
        <v>24845.1</v>
      </c>
      <c r="AD196">
        <f t="shared" si="18"/>
        <v>15185.95</v>
      </c>
      <c r="AE196">
        <f t="shared" si="16"/>
        <v>8318.7999999999993</v>
      </c>
    </row>
    <row r="197" spans="1:31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  <c r="X197" s="3">
        <f t="shared" si="20"/>
        <v>-8.0393883198561777E-3</v>
      </c>
      <c r="Y197" s="3">
        <f t="shared" si="21"/>
        <v>8.0393883198561777E-3</v>
      </c>
      <c r="Z197" s="3">
        <f t="shared" si="15"/>
        <v>5.0884630003250643E-3</v>
      </c>
      <c r="AA197" s="3">
        <f t="shared" si="19"/>
        <v>4.563088204425989E-3</v>
      </c>
      <c r="AB197" s="3">
        <f t="shared" si="17"/>
        <v>5.5103722115938105E-3</v>
      </c>
      <c r="AC197">
        <f t="shared" si="14"/>
        <v>24845.1</v>
      </c>
      <c r="AD197">
        <f t="shared" si="18"/>
        <v>17282.75</v>
      </c>
      <c r="AE197">
        <f t="shared" si="16"/>
        <v>8318.7999999999993</v>
      </c>
    </row>
    <row r="198" spans="1:31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  <c r="X198" s="3">
        <f t="shared" si="20"/>
        <v>-9.1574261486001562E-3</v>
      </c>
      <c r="Y198" s="3">
        <f t="shared" si="21"/>
        <v>9.1574261486001562E-3</v>
      </c>
      <c r="Z198" s="3">
        <f t="shared" si="15"/>
        <v>5.3894047189396053E-3</v>
      </c>
      <c r="AA198" s="3">
        <f t="shared" si="19"/>
        <v>4.6968399683126787E-3</v>
      </c>
      <c r="AB198" s="3">
        <f t="shared" si="17"/>
        <v>5.5189516610518116E-3</v>
      </c>
      <c r="AC198">
        <f t="shared" si="14"/>
        <v>28786.97</v>
      </c>
      <c r="AD198">
        <f t="shared" si="18"/>
        <v>19191.5</v>
      </c>
      <c r="AE198">
        <f t="shared" si="16"/>
        <v>8318.7999999999993</v>
      </c>
    </row>
    <row r="199" spans="1:31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  <c r="X199" s="3">
        <f t="shared" si="20"/>
        <v>-4.6776570862239186E-3</v>
      </c>
      <c r="Y199" s="3">
        <f t="shared" si="21"/>
        <v>4.6776570862239186E-3</v>
      </c>
      <c r="Z199" s="3">
        <f t="shared" si="15"/>
        <v>5.5212451281889596E-3</v>
      </c>
      <c r="AA199" s="3">
        <f t="shared" si="19"/>
        <v>4.7621434406621733E-3</v>
      </c>
      <c r="AB199" s="3">
        <f t="shared" si="17"/>
        <v>5.5414209880984911E-3</v>
      </c>
      <c r="AC199">
        <f t="shared" si="14"/>
        <v>31332.370000000003</v>
      </c>
      <c r="AD199">
        <f t="shared" si="18"/>
        <v>20234.699999999997</v>
      </c>
      <c r="AE199">
        <f t="shared" si="16"/>
        <v>8367.4249999999993</v>
      </c>
    </row>
    <row r="200" spans="1:31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  <c r="X200" s="3">
        <f t="shared" si="20"/>
        <v>-5.4073805405405739E-3</v>
      </c>
      <c r="Y200" s="3">
        <f t="shared" si="21"/>
        <v>5.4073805405405739E-3</v>
      </c>
      <c r="Z200" s="3">
        <f t="shared" si="15"/>
        <v>5.671394343519931E-3</v>
      </c>
      <c r="AA200" s="3">
        <f t="shared" si="19"/>
        <v>4.8340303709674794E-3</v>
      </c>
      <c r="AB200" s="3">
        <f t="shared" si="17"/>
        <v>5.5592946723871783E-3</v>
      </c>
      <c r="AC200">
        <f t="shared" si="14"/>
        <v>31332.370000000003</v>
      </c>
      <c r="AD200">
        <f t="shared" si="18"/>
        <v>20698.900000000001</v>
      </c>
      <c r="AE200">
        <f t="shared" si="16"/>
        <v>8408.7250000000004</v>
      </c>
    </row>
    <row r="201" spans="1:31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  <c r="X201" s="3">
        <f t="shared" si="20"/>
        <v>-5.8620315931592337E-3</v>
      </c>
      <c r="Y201" s="3">
        <f t="shared" si="21"/>
        <v>5.8620315931592337E-3</v>
      </c>
      <c r="Z201" s="3">
        <f t="shared" si="15"/>
        <v>5.7781648623204413E-3</v>
      </c>
      <c r="AA201" s="3">
        <f t="shared" si="19"/>
        <v>4.8589835791380985E-3</v>
      </c>
      <c r="AB201" s="3">
        <f t="shared" si="17"/>
        <v>5.591579002722535E-3</v>
      </c>
      <c r="AC201">
        <f t="shared" si="14"/>
        <v>28786.97</v>
      </c>
      <c r="AD201">
        <f t="shared" si="18"/>
        <v>20698.900000000001</v>
      </c>
      <c r="AE201">
        <f t="shared" si="16"/>
        <v>8451.2000000000007</v>
      </c>
    </row>
    <row r="202" spans="1:31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  <c r="X202" s="3">
        <f t="shared" si="20"/>
        <v>-3.3356693395800718E-3</v>
      </c>
      <c r="Y202" s="3">
        <f t="shared" si="21"/>
        <v>3.3356693395800718E-3</v>
      </c>
      <c r="Z202" s="3">
        <f t="shared" si="15"/>
        <v>5.7918217189846877E-3</v>
      </c>
      <c r="AA202" s="3">
        <f t="shared" si="19"/>
        <v>4.9052780635014687E-3</v>
      </c>
      <c r="AB202" s="3">
        <f t="shared" si="17"/>
        <v>5.5807818613248976E-3</v>
      </c>
      <c r="AC202">
        <f t="shared" si="14"/>
        <v>24845.1</v>
      </c>
      <c r="AD202">
        <f t="shared" si="18"/>
        <v>20698.900000000001</v>
      </c>
      <c r="AE202">
        <f t="shared" si="16"/>
        <v>8451.2000000000007</v>
      </c>
    </row>
    <row r="203" spans="1:31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  <c r="X203" s="3">
        <f t="shared" si="20"/>
        <v>2.1001633721451363E-4</v>
      </c>
      <c r="Y203" s="3">
        <f t="shared" si="21"/>
        <v>2.1001633721451363E-4</v>
      </c>
      <c r="Z203" s="3">
        <f t="shared" si="15"/>
        <v>5.6207127534720494E-3</v>
      </c>
      <c r="AA203" s="3">
        <f t="shared" si="19"/>
        <v>4.750132926895345E-3</v>
      </c>
      <c r="AB203" s="3">
        <f t="shared" si="17"/>
        <v>5.5734860647978215E-3</v>
      </c>
      <c r="AC203">
        <f t="shared" si="14"/>
        <v>24845.1</v>
      </c>
      <c r="AD203">
        <f t="shared" si="18"/>
        <v>20698.900000000001</v>
      </c>
      <c r="AE203">
        <f t="shared" si="16"/>
        <v>8482.9</v>
      </c>
    </row>
    <row r="204" spans="1:31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  <c r="X204" s="3">
        <f t="shared" si="20"/>
        <v>-7.9212822130114713E-4</v>
      </c>
      <c r="Y204" s="3">
        <f t="shared" si="21"/>
        <v>7.9212822130114713E-4</v>
      </c>
      <c r="Z204" s="3">
        <f t="shared" si="15"/>
        <v>5.0858583252931982E-3</v>
      </c>
      <c r="AA204" s="3">
        <f t="shared" si="19"/>
        <v>4.6188781247741822E-3</v>
      </c>
      <c r="AB204" s="3">
        <f t="shared" si="17"/>
        <v>5.5736755640502355E-3</v>
      </c>
      <c r="AC204">
        <f t="shared" si="14"/>
        <v>24845.1</v>
      </c>
      <c r="AD204">
        <f t="shared" si="18"/>
        <v>20698.900000000001</v>
      </c>
      <c r="AE204">
        <f t="shared" si="16"/>
        <v>8516.6</v>
      </c>
    </row>
    <row r="205" spans="1:31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  <c r="X205" s="3">
        <f t="shared" si="20"/>
        <v>5.374196687183197E-3</v>
      </c>
      <c r="Y205" s="3">
        <f t="shared" si="21"/>
        <v>5.374196687183197E-3</v>
      </c>
      <c r="Z205" s="3">
        <f t="shared" si="15"/>
        <v>5.0577683047940266E-3</v>
      </c>
      <c r="AA205" s="3">
        <f t="shared" si="19"/>
        <v>4.6549290402395803E-3</v>
      </c>
      <c r="AB205" s="3">
        <f t="shared" si="17"/>
        <v>5.5846635423799787E-3</v>
      </c>
      <c r="AC205">
        <f t="shared" si="14"/>
        <v>21748.6</v>
      </c>
      <c r="AD205">
        <f t="shared" si="18"/>
        <v>20698.900000000001</v>
      </c>
      <c r="AE205">
        <f t="shared" si="16"/>
        <v>8482.9</v>
      </c>
    </row>
    <row r="206" spans="1:31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  <c r="X206" s="3">
        <f t="shared" si="20"/>
        <v>7.4012188009418001E-3</v>
      </c>
      <c r="Y206" s="3">
        <f t="shared" si="21"/>
        <v>7.4012188009418001E-3</v>
      </c>
      <c r="Z206" s="3">
        <f t="shared" si="15"/>
        <v>5.1965389584705014E-3</v>
      </c>
      <c r="AA206" s="3">
        <f t="shared" si="19"/>
        <v>4.614304764036372E-3</v>
      </c>
      <c r="AB206" s="3">
        <f t="shared" si="17"/>
        <v>5.6112318779999865E-3</v>
      </c>
      <c r="AC206">
        <f t="shared" si="14"/>
        <v>21748.6</v>
      </c>
      <c r="AD206">
        <f t="shared" si="18"/>
        <v>20698.900000000001</v>
      </c>
      <c r="AE206">
        <f t="shared" si="16"/>
        <v>8516.6</v>
      </c>
    </row>
    <row r="207" spans="1:31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  <c r="X207" s="3">
        <f t="shared" si="20"/>
        <v>7.6572339059675087E-3</v>
      </c>
      <c r="Y207" s="3">
        <f t="shared" si="21"/>
        <v>7.6572339059675087E-3</v>
      </c>
      <c r="Z207" s="3">
        <f t="shared" si="15"/>
        <v>5.4203827839736946E-3</v>
      </c>
      <c r="AA207" s="3">
        <f t="shared" si="19"/>
        <v>4.6505618502755367E-3</v>
      </c>
      <c r="AB207" s="3">
        <f t="shared" si="17"/>
        <v>5.6242118267150571E-3</v>
      </c>
      <c r="AC207">
        <f t="shared" si="14"/>
        <v>20989.1</v>
      </c>
      <c r="AD207">
        <f t="shared" si="18"/>
        <v>20698.900000000001</v>
      </c>
      <c r="AE207">
        <f t="shared" si="16"/>
        <v>8556.6</v>
      </c>
    </row>
    <row r="208" spans="1:31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  <c r="X208" s="3">
        <f t="shared" si="20"/>
        <v>5.8135445045046641E-3</v>
      </c>
      <c r="Y208" s="3">
        <f t="shared" si="21"/>
        <v>5.8135445045046641E-3</v>
      </c>
      <c r="Z208" s="3">
        <f t="shared" si="15"/>
        <v>5.5824651907185737E-3</v>
      </c>
      <c r="AA208" s="3">
        <f t="shared" si="19"/>
        <v>4.6631514237901236E-3</v>
      </c>
      <c r="AB208" s="3">
        <f t="shared" si="17"/>
        <v>5.639274303194863E-3</v>
      </c>
      <c r="AC208">
        <f t="shared" si="14"/>
        <v>20989.1</v>
      </c>
      <c r="AD208">
        <f t="shared" si="18"/>
        <v>20234.699999999997</v>
      </c>
      <c r="AE208">
        <f t="shared" si="16"/>
        <v>8652.85</v>
      </c>
    </row>
    <row r="209" spans="1:31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  <c r="X209" s="3">
        <f t="shared" si="20"/>
        <v>2.005509006183237E-3</v>
      </c>
      <c r="Y209" s="3">
        <f t="shared" si="21"/>
        <v>2.005509006183237E-3</v>
      </c>
      <c r="Z209" s="3">
        <f t="shared" si="15"/>
        <v>5.6074379099894283E-3</v>
      </c>
      <c r="AA209" s="3">
        <f t="shared" si="19"/>
        <v>4.598705567298563E-3</v>
      </c>
      <c r="AB209" s="3">
        <f t="shared" si="17"/>
        <v>5.6158538194601522E-3</v>
      </c>
      <c r="AC209">
        <f t="shared" si="14"/>
        <v>21773.5</v>
      </c>
      <c r="AD209">
        <f t="shared" si="18"/>
        <v>20698.900000000001</v>
      </c>
      <c r="AE209">
        <f t="shared" si="16"/>
        <v>8798.2000000000007</v>
      </c>
    </row>
    <row r="210" spans="1:31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  <c r="X210" s="3">
        <f t="shared" si="20"/>
        <v>4.4028443248091964E-3</v>
      </c>
      <c r="Y210" s="3">
        <f t="shared" si="21"/>
        <v>4.4028443248091964E-3</v>
      </c>
      <c r="Z210" s="3">
        <f t="shared" si="15"/>
        <v>5.7355134802110517E-3</v>
      </c>
      <c r="AA210" s="3">
        <f t="shared" si="19"/>
        <v>4.6671904534824633E-3</v>
      </c>
      <c r="AB210" s="3">
        <f t="shared" si="17"/>
        <v>5.6084768960586225E-3</v>
      </c>
      <c r="AC210">
        <f t="shared" si="14"/>
        <v>24845.1</v>
      </c>
      <c r="AD210">
        <f t="shared" si="18"/>
        <v>20989.1</v>
      </c>
      <c r="AE210">
        <f t="shared" si="16"/>
        <v>8798.2000000000007</v>
      </c>
    </row>
    <row r="211" spans="1:31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  <c r="X211" s="3">
        <f t="shared" si="20"/>
        <v>7.9270187835422945E-4</v>
      </c>
      <c r="Y211" s="3">
        <f t="shared" si="21"/>
        <v>7.9270187835422945E-4</v>
      </c>
      <c r="Z211" s="3">
        <f t="shared" si="15"/>
        <v>5.6789331464264644E-3</v>
      </c>
      <c r="AA211" s="3">
        <f t="shared" si="19"/>
        <v>4.6453273868251651E-3</v>
      </c>
      <c r="AB211" s="3">
        <f t="shared" si="17"/>
        <v>5.6101816083909432E-3</v>
      </c>
      <c r="AC211">
        <f t="shared" si="14"/>
        <v>24845.1</v>
      </c>
      <c r="AD211">
        <f t="shared" si="18"/>
        <v>21236.620000000003</v>
      </c>
      <c r="AE211">
        <f t="shared" si="16"/>
        <v>8798.2000000000007</v>
      </c>
    </row>
    <row r="212" spans="1:31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  <c r="X212" s="3">
        <f t="shared" si="20"/>
        <v>1.4397765652951477E-3</v>
      </c>
      <c r="Y212" s="3">
        <f t="shared" si="21"/>
        <v>1.4397765652951477E-3</v>
      </c>
      <c r="Z212" s="3">
        <f t="shared" si="15"/>
        <v>5.3807022935207557E-3</v>
      </c>
      <c r="AA212" s="3">
        <f t="shared" si="19"/>
        <v>4.5353721912328249E-3</v>
      </c>
      <c r="AB212" s="3">
        <f t="shared" si="17"/>
        <v>5.5965428025065555E-3</v>
      </c>
      <c r="AC212">
        <f t="shared" si="14"/>
        <v>28786.97</v>
      </c>
      <c r="AD212">
        <f t="shared" si="18"/>
        <v>21996.120000000003</v>
      </c>
      <c r="AE212">
        <f t="shared" si="16"/>
        <v>8798.2000000000007</v>
      </c>
    </row>
    <row r="213" spans="1:31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  <c r="X213" s="3">
        <f t="shared" si="20"/>
        <v>4.0396565330462764E-3</v>
      </c>
      <c r="Y213" s="3">
        <f t="shared" si="21"/>
        <v>4.0396565330462764E-3</v>
      </c>
      <c r="Z213" s="3">
        <f t="shared" si="15"/>
        <v>5.3955581472478996E-3</v>
      </c>
      <c r="AA213" s="3">
        <f t="shared" si="19"/>
        <v>4.5508799495315921E-3</v>
      </c>
      <c r="AB213" s="3">
        <f t="shared" si="17"/>
        <v>5.6020412466259674E-3</v>
      </c>
      <c r="AC213">
        <f t="shared" si="14"/>
        <v>24845.1</v>
      </c>
      <c r="AD213">
        <f t="shared" si="18"/>
        <v>21236.620000000003</v>
      </c>
      <c r="AE213">
        <f t="shared" si="16"/>
        <v>8798.2000000000007</v>
      </c>
    </row>
    <row r="214" spans="1:31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  <c r="X214" s="3">
        <f t="shared" si="20"/>
        <v>8.5855866666666447E-3</v>
      </c>
      <c r="Y214" s="3">
        <f t="shared" si="21"/>
        <v>8.5855866666666447E-3</v>
      </c>
      <c r="Z214" s="3">
        <f t="shared" si="15"/>
        <v>5.5304691952959466E-3</v>
      </c>
      <c r="AA214" s="3">
        <f t="shared" si="19"/>
        <v>4.6003986624945552E-3</v>
      </c>
      <c r="AB214" s="3">
        <f t="shared" si="17"/>
        <v>5.6231073514136807E-3</v>
      </c>
      <c r="AC214">
        <f t="shared" si="14"/>
        <v>24085.599999999999</v>
      </c>
      <c r="AD214">
        <f t="shared" si="18"/>
        <v>20989.1</v>
      </c>
      <c r="AE214">
        <f t="shared" si="16"/>
        <v>8798.2000000000007</v>
      </c>
    </row>
    <row r="215" spans="1:31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  <c r="X215" s="3">
        <f t="shared" si="20"/>
        <v>2.9327259735589806E-5</v>
      </c>
      <c r="Y215" s="3">
        <f t="shared" si="21"/>
        <v>2.9327259735589806E-5</v>
      </c>
      <c r="Z215" s="3">
        <f t="shared" si="15"/>
        <v>5.3909426748933505E-3</v>
      </c>
      <c r="AA215" s="3">
        <f t="shared" si="19"/>
        <v>4.5789495450002755E-3</v>
      </c>
      <c r="AB215" s="3">
        <f t="shared" si="17"/>
        <v>5.614023803456194E-3</v>
      </c>
      <c r="AC215">
        <f t="shared" si="14"/>
        <v>24085.599999999999</v>
      </c>
      <c r="AD215">
        <f t="shared" si="18"/>
        <v>20989.1</v>
      </c>
      <c r="AE215">
        <f t="shared" si="16"/>
        <v>8875.35</v>
      </c>
    </row>
    <row r="216" spans="1:31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  <c r="X216" s="3">
        <f t="shared" si="20"/>
        <v>-6.062522321428343E-4</v>
      </c>
      <c r="Y216" s="3">
        <f t="shared" si="21"/>
        <v>6.062522321428343E-4</v>
      </c>
      <c r="Z216" s="3">
        <f t="shared" si="15"/>
        <v>5.2938065581141338E-3</v>
      </c>
      <c r="AA216" s="3">
        <f t="shared" si="19"/>
        <v>4.4970213633381863E-3</v>
      </c>
      <c r="AB216" s="3">
        <f t="shared" si="17"/>
        <v>5.572506180355632E-3</v>
      </c>
      <c r="AC216">
        <f t="shared" si="14"/>
        <v>24085.599999999999</v>
      </c>
      <c r="AD216">
        <f t="shared" si="18"/>
        <v>20989.1</v>
      </c>
      <c r="AE216">
        <f t="shared" si="16"/>
        <v>8885.9</v>
      </c>
    </row>
    <row r="217" spans="1:31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  <c r="X217" s="3">
        <f t="shared" si="20"/>
        <v>-1.7693783349691516E-3</v>
      </c>
      <c r="Y217" s="3">
        <f t="shared" si="21"/>
        <v>1.7693783349691516E-3</v>
      </c>
      <c r="Z217" s="3">
        <f t="shared" si="15"/>
        <v>5.2344929554251594E-3</v>
      </c>
      <c r="AA217" s="3">
        <f t="shared" si="19"/>
        <v>4.4595996871573448E-3</v>
      </c>
      <c r="AB217" s="3">
        <f t="shared" si="17"/>
        <v>5.5650700214711453E-3</v>
      </c>
      <c r="AC217">
        <f t="shared" si="14"/>
        <v>24085.599999999999</v>
      </c>
      <c r="AD217">
        <f t="shared" si="18"/>
        <v>20989.1</v>
      </c>
      <c r="AE217">
        <f t="shared" si="16"/>
        <v>9058.75</v>
      </c>
    </row>
    <row r="218" spans="1:31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  <c r="X218" s="3">
        <f t="shared" si="20"/>
        <v>-4.1371313751668026E-3</v>
      </c>
      <c r="Y218" s="3">
        <f t="shared" si="21"/>
        <v>4.1371313751668026E-3</v>
      </c>
      <c r="Z218" s="3">
        <f t="shared" si="15"/>
        <v>5.2494279874564561E-3</v>
      </c>
      <c r="AA218" s="3">
        <f t="shared" si="19"/>
        <v>4.4612480957447725E-3</v>
      </c>
      <c r="AB218" s="3">
        <f t="shared" si="17"/>
        <v>5.5774218668187469E-3</v>
      </c>
      <c r="AC218">
        <f t="shared" si="14"/>
        <v>24085.599999999999</v>
      </c>
      <c r="AD218">
        <f t="shared" si="18"/>
        <v>20908.2</v>
      </c>
      <c r="AE218">
        <f t="shared" si="16"/>
        <v>8885.9</v>
      </c>
    </row>
    <row r="219" spans="1:31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  <c r="X219" s="3">
        <f t="shared" si="20"/>
        <v>-5.8746328596801511E-3</v>
      </c>
      <c r="Y219" s="3">
        <f t="shared" si="21"/>
        <v>5.8746328596801511E-3</v>
      </c>
      <c r="Z219" s="3">
        <f t="shared" si="15"/>
        <v>5.2488833233252557E-3</v>
      </c>
      <c r="AA219" s="3">
        <f t="shared" si="19"/>
        <v>4.4968677641228343E-3</v>
      </c>
      <c r="AB219" s="3">
        <f t="shared" si="17"/>
        <v>5.5810937686235412E-3</v>
      </c>
      <c r="AC219">
        <f t="shared" si="14"/>
        <v>30882.6</v>
      </c>
      <c r="AD219">
        <f t="shared" si="18"/>
        <v>20989.1</v>
      </c>
      <c r="AE219">
        <f t="shared" si="16"/>
        <v>9058.75</v>
      </c>
    </row>
    <row r="220" spans="1:31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  <c r="X220" s="3">
        <f t="shared" si="20"/>
        <v>-2.9769936815876585E-3</v>
      </c>
      <c r="Y220" s="3">
        <f t="shared" si="21"/>
        <v>2.9769936815876585E-3</v>
      </c>
      <c r="Z220" s="3">
        <f t="shared" si="15"/>
        <v>5.117161808688782E-3</v>
      </c>
      <c r="AA220" s="3">
        <f t="shared" si="19"/>
        <v>4.5232368744122934E-3</v>
      </c>
      <c r="AB220" s="3">
        <f t="shared" si="17"/>
        <v>5.5960887959750081E-3</v>
      </c>
      <c r="AC220">
        <f t="shared" si="14"/>
        <v>30882.6</v>
      </c>
      <c r="AD220">
        <f t="shared" si="18"/>
        <v>20989.1</v>
      </c>
      <c r="AE220">
        <f t="shared" si="16"/>
        <v>9273.0499999999993</v>
      </c>
    </row>
    <row r="221" spans="1:31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  <c r="X221" s="3">
        <f t="shared" si="20"/>
        <v>-3.1309947504226665E-3</v>
      </c>
      <c r="Y221" s="3">
        <f t="shared" si="21"/>
        <v>3.1309947504226665E-3</v>
      </c>
      <c r="Z221" s="3">
        <f t="shared" si="15"/>
        <v>4.9842198287825363E-3</v>
      </c>
      <c r="AA221" s="3">
        <f t="shared" si="19"/>
        <v>4.4903748052110837E-3</v>
      </c>
      <c r="AB221" s="3">
        <f t="shared" si="17"/>
        <v>5.5456548284168496E-3</v>
      </c>
      <c r="AC221">
        <f>MEDIAN(E192:E221)</f>
        <v>35207.4</v>
      </c>
      <c r="AD221">
        <f t="shared" si="18"/>
        <v>21236.620000000003</v>
      </c>
      <c r="AE221">
        <f t="shared" si="16"/>
        <v>9436.9</v>
      </c>
    </row>
    <row r="222" spans="1:31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  <c r="X222" s="3">
        <f t="shared" si="20"/>
        <v>-1.3997973262032115E-3</v>
      </c>
      <c r="Y222" s="3">
        <f t="shared" si="21"/>
        <v>1.3997973262032115E-3</v>
      </c>
      <c r="Z222" s="3">
        <f t="shared" si="15"/>
        <v>4.7209130102877717E-3</v>
      </c>
      <c r="AA222" s="3">
        <f t="shared" si="19"/>
        <v>4.4695542560606481E-3</v>
      </c>
      <c r="AB222" s="3">
        <f t="shared" si="17"/>
        <v>5.5278841089553771E-3</v>
      </c>
      <c r="AC222">
        <f t="shared" ref="AC222:AC285" si="22">MEDIAN(E193:E222)</f>
        <v>36713.100000000006</v>
      </c>
      <c r="AD222">
        <f t="shared" si="18"/>
        <v>21996.120000000003</v>
      </c>
      <c r="AE222">
        <f t="shared" si="16"/>
        <v>9691.5750000000007</v>
      </c>
    </row>
    <row r="223" spans="1:31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  <c r="X223" s="3">
        <f t="shared" si="20"/>
        <v>-3.1186731950503255E-3</v>
      </c>
      <c r="Y223" s="3">
        <f t="shared" si="21"/>
        <v>3.1186731950503255E-3</v>
      </c>
      <c r="Z223" s="3">
        <f t="shared" si="15"/>
        <v>4.6118946594668978E-3</v>
      </c>
      <c r="AA223" s="3">
        <f t="shared" si="19"/>
        <v>4.4383865584160893E-3</v>
      </c>
      <c r="AB223" s="3">
        <f t="shared" si="17"/>
        <v>5.5146161958113471E-3</v>
      </c>
      <c r="AC223">
        <f t="shared" si="22"/>
        <v>36713.100000000006</v>
      </c>
      <c r="AD223">
        <f t="shared" si="18"/>
        <v>21996.120000000003</v>
      </c>
      <c r="AE223">
        <f t="shared" si="16"/>
        <v>9877.625</v>
      </c>
    </row>
    <row r="224" spans="1:31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  <c r="X224" s="3">
        <f t="shared" si="20"/>
        <v>-2.397148405487326E-3</v>
      </c>
      <c r="Y224" s="3">
        <f t="shared" si="21"/>
        <v>2.397148405487326E-3</v>
      </c>
      <c r="Z224" s="3">
        <f t="shared" si="15"/>
        <v>4.3150916128758101E-3</v>
      </c>
      <c r="AA224" s="3">
        <f t="shared" si="19"/>
        <v>4.416432804734651E-3</v>
      </c>
      <c r="AB224" s="3">
        <f t="shared" si="17"/>
        <v>5.5188508828760323E-3</v>
      </c>
      <c r="AC224">
        <f t="shared" si="22"/>
        <v>29354.25</v>
      </c>
      <c r="AD224">
        <f t="shared" si="18"/>
        <v>22717.35</v>
      </c>
      <c r="AE224">
        <f t="shared" si="16"/>
        <v>9877.625</v>
      </c>
    </row>
    <row r="225" spans="1:31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  <c r="X225" s="3">
        <f t="shared" si="20"/>
        <v>-2.8511308877214869E-3</v>
      </c>
      <c r="Y225" s="3">
        <f t="shared" si="21"/>
        <v>2.8511308877214869E-3</v>
      </c>
      <c r="Z225" s="3">
        <f t="shared" ref="Z225:Z288" si="23">AVERAGE(Y196:Y225)</f>
        <v>4.0241255732953894E-3</v>
      </c>
      <c r="AA225" s="3">
        <f t="shared" si="19"/>
        <v>4.3641200727886813E-3</v>
      </c>
      <c r="AB225" s="3">
        <f t="shared" si="17"/>
        <v>5.4605234747519054E-3</v>
      </c>
      <c r="AC225">
        <f t="shared" si="22"/>
        <v>29354.25</v>
      </c>
      <c r="AD225">
        <f t="shared" si="18"/>
        <v>22717.35</v>
      </c>
      <c r="AE225">
        <f t="shared" si="16"/>
        <v>10102.25</v>
      </c>
    </row>
    <row r="226" spans="1:31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  <c r="X226" s="3">
        <f t="shared" si="20"/>
        <v>-3.2060740674797472E-3</v>
      </c>
      <c r="Y226" s="3">
        <f t="shared" si="21"/>
        <v>3.2060740674797472E-3</v>
      </c>
      <c r="Z226" s="3">
        <f t="shared" si="23"/>
        <v>3.8830500278358216E-3</v>
      </c>
      <c r="AA226" s="3">
        <f t="shared" si="19"/>
        <v>4.3799294723759112E-3</v>
      </c>
      <c r="AB226" s="3">
        <f t="shared" si="17"/>
        <v>5.4041611375084233E-3</v>
      </c>
      <c r="AC226">
        <f t="shared" si="22"/>
        <v>21957.85</v>
      </c>
      <c r="AD226">
        <f t="shared" si="18"/>
        <v>22717.35</v>
      </c>
      <c r="AE226">
        <f t="shared" si="16"/>
        <v>10248.25</v>
      </c>
    </row>
    <row r="227" spans="1:31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  <c r="X227" s="3">
        <f t="shared" si="20"/>
        <v>-5.2298028444444089E-3</v>
      </c>
      <c r="Y227" s="3">
        <f t="shared" si="21"/>
        <v>5.2298028444444089E-3</v>
      </c>
      <c r="Z227" s="3">
        <f t="shared" si="23"/>
        <v>3.7893971786554293E-3</v>
      </c>
      <c r="AA227" s="3">
        <f t="shared" si="19"/>
        <v>4.4389300894902466E-3</v>
      </c>
      <c r="AB227" s="3">
        <f t="shared" si="17"/>
        <v>5.4292527981910669E-3</v>
      </c>
      <c r="AC227">
        <f t="shared" si="22"/>
        <v>21957.85</v>
      </c>
      <c r="AD227">
        <f t="shared" si="18"/>
        <v>22717.35</v>
      </c>
      <c r="AE227">
        <f t="shared" si="16"/>
        <v>10583</v>
      </c>
    </row>
    <row r="228" spans="1:31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  <c r="X228" s="3">
        <f t="shared" si="20"/>
        <v>-6.1294455516014423E-3</v>
      </c>
      <c r="Y228" s="3">
        <f t="shared" si="21"/>
        <v>6.1294455516014423E-3</v>
      </c>
      <c r="Z228" s="3">
        <f t="shared" si="23"/>
        <v>3.6884644920888053E-3</v>
      </c>
      <c r="AA228" s="3">
        <f t="shared" si="19"/>
        <v>4.5389346055142053E-3</v>
      </c>
      <c r="AB228" s="3">
        <f t="shared" si="17"/>
        <v>5.364988089693659E-3</v>
      </c>
      <c r="AC228">
        <f t="shared" si="22"/>
        <v>20933.099999999999</v>
      </c>
      <c r="AD228">
        <f t="shared" si="18"/>
        <v>22717.35</v>
      </c>
      <c r="AE228">
        <f t="shared" si="16"/>
        <v>10633.9</v>
      </c>
    </row>
    <row r="229" spans="1:31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  <c r="X229" s="3">
        <f t="shared" si="20"/>
        <v>-7.5860232433877517E-3</v>
      </c>
      <c r="Y229" s="3">
        <f t="shared" si="21"/>
        <v>7.5860232433877517E-3</v>
      </c>
      <c r="Z229" s="3">
        <f t="shared" si="23"/>
        <v>3.7854100306609333E-3</v>
      </c>
      <c r="AA229" s="3">
        <f t="shared" si="19"/>
        <v>4.6533275794249469E-3</v>
      </c>
      <c r="AB229" s="3">
        <f t="shared" si="17"/>
        <v>5.3722932531184934E-3</v>
      </c>
      <c r="AC229">
        <f t="shared" si="22"/>
        <v>20933.099999999999</v>
      </c>
      <c r="AD229">
        <f t="shared" si="18"/>
        <v>22717.35</v>
      </c>
      <c r="AE229">
        <f t="shared" si="16"/>
        <v>10633.9</v>
      </c>
    </row>
    <row r="230" spans="1:31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  <c r="X230" s="3">
        <f t="shared" si="20"/>
        <v>-4.1060285535265972E-3</v>
      </c>
      <c r="Y230" s="3">
        <f t="shared" si="21"/>
        <v>4.1060285535265972E-3</v>
      </c>
      <c r="Z230" s="3">
        <f t="shared" si="23"/>
        <v>3.7420316310938007E-3</v>
      </c>
      <c r="AA230" s="3">
        <f t="shared" si="19"/>
        <v>4.7067129873068657E-3</v>
      </c>
      <c r="AB230" s="3">
        <f t="shared" si="17"/>
        <v>5.3867642858522633E-3</v>
      </c>
      <c r="AC230">
        <f t="shared" si="22"/>
        <v>19063.245000000003</v>
      </c>
      <c r="AD230">
        <f t="shared" si="18"/>
        <v>22271.1</v>
      </c>
      <c r="AE230">
        <f t="shared" si="16"/>
        <v>10772.25</v>
      </c>
    </row>
    <row r="231" spans="1:31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  <c r="X231" s="3">
        <f t="shared" si="20"/>
        <v>-5.2687826905829516E-3</v>
      </c>
      <c r="Y231" s="3">
        <f t="shared" si="21"/>
        <v>5.2687826905829516E-3</v>
      </c>
      <c r="Z231" s="3">
        <f t="shared" si="23"/>
        <v>3.7222566676745911E-3</v>
      </c>
      <c r="AA231" s="3">
        <f t="shared" si="19"/>
        <v>4.7502107649975162E-3</v>
      </c>
      <c r="AB231" s="3">
        <f t="shared" si="17"/>
        <v>5.2979040376686841E-3</v>
      </c>
      <c r="AC231">
        <f t="shared" si="22"/>
        <v>19063.245000000003</v>
      </c>
      <c r="AD231">
        <f t="shared" si="18"/>
        <v>21511.599999999999</v>
      </c>
      <c r="AE231">
        <f t="shared" si="16"/>
        <v>10876.900000000001</v>
      </c>
    </row>
    <row r="232" spans="1:31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  <c r="X232" s="3">
        <f t="shared" si="20"/>
        <v>2.7911923042189812E-4</v>
      </c>
      <c r="Y232" s="3">
        <f t="shared" si="21"/>
        <v>2.7911923042189812E-4</v>
      </c>
      <c r="Z232" s="3">
        <f t="shared" si="23"/>
        <v>3.6203716640359853E-3</v>
      </c>
      <c r="AA232" s="3">
        <f t="shared" si="19"/>
        <v>4.7060966915103367E-3</v>
      </c>
      <c r="AB232" s="3">
        <f t="shared" si="17"/>
        <v>5.2537154632693091E-3</v>
      </c>
      <c r="AC232">
        <f t="shared" si="22"/>
        <v>20933.099999999999</v>
      </c>
      <c r="AD232">
        <f t="shared" si="18"/>
        <v>21511.599999999999</v>
      </c>
      <c r="AE232">
        <f t="shared" si="16"/>
        <v>10876.900000000001</v>
      </c>
    </row>
    <row r="233" spans="1:31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  <c r="X233" s="3">
        <f t="shared" si="20"/>
        <v>3.279383783292289E-3</v>
      </c>
      <c r="Y233" s="3">
        <f t="shared" si="21"/>
        <v>3.279383783292289E-3</v>
      </c>
      <c r="Z233" s="3">
        <f t="shared" si="23"/>
        <v>3.7226839122385781E-3</v>
      </c>
      <c r="AA233" s="3">
        <f t="shared" si="19"/>
        <v>4.6716983328553138E-3</v>
      </c>
      <c r="AB233" s="3">
        <f t="shared" si="17"/>
        <v>5.24500428352042E-3</v>
      </c>
      <c r="AC233">
        <f t="shared" si="22"/>
        <v>21511.599999999999</v>
      </c>
      <c r="AD233">
        <f t="shared" si="18"/>
        <v>22271.1</v>
      </c>
      <c r="AE233">
        <f t="shared" si="16"/>
        <v>10922.7</v>
      </c>
    </row>
    <row r="234" spans="1:31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  <c r="X234" s="3">
        <f t="shared" si="20"/>
        <v>-1.5808648746492571E-3</v>
      </c>
      <c r="Y234" s="3">
        <f t="shared" si="21"/>
        <v>1.5808648746492571E-3</v>
      </c>
      <c r="Z234" s="3">
        <f t="shared" si="23"/>
        <v>3.7489751340168483E-3</v>
      </c>
      <c r="AA234" s="3">
        <f t="shared" si="19"/>
        <v>4.4174167296550234E-3</v>
      </c>
      <c r="AB234" s="3">
        <f t="shared" si="17"/>
        <v>5.1552703036916369E-3</v>
      </c>
      <c r="AC234">
        <f t="shared" si="22"/>
        <v>22455.45</v>
      </c>
      <c r="AD234">
        <f t="shared" si="18"/>
        <v>22717.35</v>
      </c>
      <c r="AE234">
        <f t="shared" si="16"/>
        <v>10985.099999999999</v>
      </c>
    </row>
    <row r="235" spans="1:31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  <c r="X235" s="3">
        <f t="shared" si="20"/>
        <v>-1.4609146606335832E-3</v>
      </c>
      <c r="Y235" s="3">
        <f t="shared" si="21"/>
        <v>1.4609146606335832E-3</v>
      </c>
      <c r="Z235" s="3">
        <f t="shared" si="23"/>
        <v>3.6185323997985279E-3</v>
      </c>
      <c r="AA235" s="3">
        <f t="shared" si="19"/>
        <v>4.338150352296277E-3</v>
      </c>
      <c r="AB235" s="3">
        <f t="shared" si="17"/>
        <v>5.1378085466239464E-3</v>
      </c>
      <c r="AC235">
        <f t="shared" si="22"/>
        <v>22455.45</v>
      </c>
      <c r="AD235">
        <f t="shared" si="18"/>
        <v>22271.1</v>
      </c>
      <c r="AE235">
        <f t="shared" si="16"/>
        <v>10985.099999999999</v>
      </c>
    </row>
    <row r="236" spans="1:31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  <c r="X236" s="3">
        <f t="shared" si="20"/>
        <v>3.8459231119198911E-3</v>
      </c>
      <c r="Y236" s="3">
        <f t="shared" si="21"/>
        <v>3.8459231119198911E-3</v>
      </c>
      <c r="Z236" s="3">
        <f t="shared" si="23"/>
        <v>3.5000225434977978E-3</v>
      </c>
      <c r="AA236" s="3">
        <f t="shared" si="19"/>
        <v>4.3482807509841494E-3</v>
      </c>
      <c r="AB236" s="3">
        <f t="shared" si="17"/>
        <v>5.0662217111686085E-3</v>
      </c>
      <c r="AC236">
        <f t="shared" si="22"/>
        <v>28269.599999999999</v>
      </c>
      <c r="AD236">
        <f t="shared" si="18"/>
        <v>22717.35</v>
      </c>
      <c r="AE236">
        <f t="shared" si="16"/>
        <v>11084.099999999999</v>
      </c>
    </row>
    <row r="237" spans="1:31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  <c r="X237" s="3">
        <f t="shared" si="20"/>
        <v>3.3846398251047294E-3</v>
      </c>
      <c r="Y237" s="3">
        <f t="shared" si="21"/>
        <v>3.3846398251047294E-3</v>
      </c>
      <c r="Z237" s="3">
        <f t="shared" si="23"/>
        <v>3.3576027408023716E-3</v>
      </c>
      <c r="AA237" s="3">
        <f t="shared" si="19"/>
        <v>4.3889927623880333E-3</v>
      </c>
      <c r="AB237" s="3">
        <f t="shared" si="17"/>
        <v>5.0750885963955147E-3</v>
      </c>
      <c r="AC237">
        <f t="shared" si="22"/>
        <v>32133.5</v>
      </c>
      <c r="AD237">
        <f t="shared" si="18"/>
        <v>22717.35</v>
      </c>
      <c r="AE237">
        <f t="shared" si="16"/>
        <v>11249.65</v>
      </c>
    </row>
    <row r="238" spans="1:31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  <c r="X238" s="3">
        <f t="shared" si="20"/>
        <v>-6.1377798554652641E-3</v>
      </c>
      <c r="Y238" s="3">
        <f t="shared" si="21"/>
        <v>6.1377798554652641E-3</v>
      </c>
      <c r="Z238" s="3">
        <f t="shared" si="23"/>
        <v>3.3684105858343915E-3</v>
      </c>
      <c r="AA238" s="3">
        <f t="shared" si="19"/>
        <v>4.4754378882764824E-3</v>
      </c>
      <c r="AB238" s="3">
        <f t="shared" si="17"/>
        <v>5.0179711379268414E-3</v>
      </c>
      <c r="AC238">
        <f t="shared" si="22"/>
        <v>32133.5</v>
      </c>
      <c r="AD238">
        <f t="shared" si="18"/>
        <v>22717.35</v>
      </c>
      <c r="AE238">
        <f t="shared" si="16"/>
        <v>11249.65</v>
      </c>
    </row>
    <row r="239" spans="1:31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  <c r="X239" s="3">
        <f t="shared" si="20"/>
        <v>-1.1401862381989813E-2</v>
      </c>
      <c r="Y239" s="3">
        <f t="shared" si="21"/>
        <v>1.1401862381989813E-2</v>
      </c>
      <c r="Z239" s="3">
        <f t="shared" si="23"/>
        <v>3.6816223650279439E-3</v>
      </c>
      <c r="AA239" s="3">
        <f t="shared" si="19"/>
        <v>4.6445301375086867E-3</v>
      </c>
      <c r="AB239" s="3">
        <f t="shared" si="17"/>
        <v>5.0751814306866172E-3</v>
      </c>
      <c r="AC239">
        <f t="shared" si="22"/>
        <v>32133.5</v>
      </c>
      <c r="AD239">
        <f t="shared" si="18"/>
        <v>25029.45</v>
      </c>
      <c r="AE239">
        <f t="shared" si="16"/>
        <v>11347.4</v>
      </c>
    </row>
    <row r="240" spans="1:31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  <c r="X240" s="3">
        <f t="shared" si="20"/>
        <v>-4.0053196914701106E-3</v>
      </c>
      <c r="Y240" s="3">
        <f t="shared" si="21"/>
        <v>4.0053196914701106E-3</v>
      </c>
      <c r="Z240" s="3">
        <f t="shared" si="23"/>
        <v>3.6683715439166415E-3</v>
      </c>
      <c r="AA240" s="3">
        <f t="shared" si="19"/>
        <v>4.7019425120638468E-3</v>
      </c>
      <c r="AB240" s="3">
        <f t="shared" si="17"/>
        <v>4.9780488608280622E-3</v>
      </c>
      <c r="AC240">
        <f t="shared" si="22"/>
        <v>26765.599999999999</v>
      </c>
      <c r="AD240">
        <f t="shared" si="18"/>
        <v>25029.45</v>
      </c>
      <c r="AE240">
        <f t="shared" si="16"/>
        <v>11249.65</v>
      </c>
    </row>
    <row r="241" spans="1:31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  <c r="X241" s="3">
        <f t="shared" si="20"/>
        <v>-5.6224827272727262E-3</v>
      </c>
      <c r="Y241" s="3">
        <f t="shared" si="21"/>
        <v>5.6224827272727262E-3</v>
      </c>
      <c r="Z241" s="3">
        <f t="shared" si="23"/>
        <v>3.8293642388805911E-3</v>
      </c>
      <c r="AA241" s="3">
        <f t="shared" si="19"/>
        <v>4.754148692653528E-3</v>
      </c>
      <c r="AB241" s="3">
        <f t="shared" si="17"/>
        <v>4.9649262459903649E-3</v>
      </c>
      <c r="AC241">
        <f t="shared" si="22"/>
        <v>22455.45</v>
      </c>
      <c r="AD241">
        <f t="shared" si="18"/>
        <v>22717.35</v>
      </c>
      <c r="AE241">
        <f t="shared" si="16"/>
        <v>11249.65</v>
      </c>
    </row>
    <row r="242" spans="1:31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  <c r="X242" s="3">
        <f t="shared" si="20"/>
        <v>-1.0496224275129418E-3</v>
      </c>
      <c r="Y242" s="3">
        <f t="shared" si="21"/>
        <v>1.0496224275129418E-3</v>
      </c>
      <c r="Z242" s="3">
        <f t="shared" si="23"/>
        <v>3.8163591009545178E-3</v>
      </c>
      <c r="AA242" s="3">
        <f t="shared" si="19"/>
        <v>4.5985306972376365E-3</v>
      </c>
      <c r="AB242" s="3">
        <f t="shared" si="17"/>
        <v>4.9619631975107359E-3</v>
      </c>
      <c r="AC242">
        <f t="shared" si="22"/>
        <v>22455.45</v>
      </c>
      <c r="AD242">
        <f t="shared" si="18"/>
        <v>25029.45</v>
      </c>
      <c r="AE242">
        <f t="shared" si="16"/>
        <v>11347.4</v>
      </c>
    </row>
    <row r="243" spans="1:31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  <c r="X243" s="3">
        <f t="shared" si="20"/>
        <v>-4.7130501098436861E-3</v>
      </c>
      <c r="Y243" s="3">
        <f t="shared" si="21"/>
        <v>4.7130501098436861E-3</v>
      </c>
      <c r="Z243" s="3">
        <f t="shared" si="23"/>
        <v>3.8388055535144312E-3</v>
      </c>
      <c r="AA243" s="3">
        <f t="shared" si="19"/>
        <v>4.6171818503811654E-3</v>
      </c>
      <c r="AB243" s="3">
        <f t="shared" si="17"/>
        <v>4.9840313711979022E-3</v>
      </c>
      <c r="AC243">
        <f t="shared" si="22"/>
        <v>26765.599999999999</v>
      </c>
      <c r="AD243">
        <f t="shared" si="18"/>
        <v>25029.45</v>
      </c>
      <c r="AE243">
        <f t="shared" si="16"/>
        <v>11347.4</v>
      </c>
    </row>
    <row r="244" spans="1:31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  <c r="X244" s="3">
        <f t="shared" si="20"/>
        <v>-4.2229149110808439E-3</v>
      </c>
      <c r="Y244" s="3">
        <f t="shared" si="21"/>
        <v>4.2229149110808439E-3</v>
      </c>
      <c r="Z244" s="3">
        <f t="shared" si="23"/>
        <v>3.6933831616615715E-3</v>
      </c>
      <c r="AA244" s="3">
        <f t="shared" si="19"/>
        <v>4.6119261784787592E-3</v>
      </c>
      <c r="AB244" s="3">
        <f t="shared" si="17"/>
        <v>5.0068949405813372E-3</v>
      </c>
      <c r="AC244">
        <f t="shared" si="22"/>
        <v>26765.599999999999</v>
      </c>
      <c r="AD244">
        <f t="shared" si="18"/>
        <v>25029.45</v>
      </c>
      <c r="AE244">
        <f t="shared" si="16"/>
        <v>11347.4</v>
      </c>
    </row>
    <row r="245" spans="1:31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  <c r="X245" s="3">
        <f t="shared" si="20"/>
        <v>-5.7474564663023697E-3</v>
      </c>
      <c r="Y245" s="3">
        <f t="shared" si="21"/>
        <v>5.7474564663023697E-3</v>
      </c>
      <c r="Z245" s="3">
        <f t="shared" si="23"/>
        <v>3.8839874685471306E-3</v>
      </c>
      <c r="AA245" s="3">
        <f t="shared" si="19"/>
        <v>4.6374650717202403E-3</v>
      </c>
      <c r="AB245" s="3">
        <f t="shared" si="17"/>
        <v>5.0309357259057195E-3</v>
      </c>
      <c r="AC245">
        <f t="shared" si="22"/>
        <v>26765.599999999999</v>
      </c>
      <c r="AD245">
        <f t="shared" si="18"/>
        <v>25029.45</v>
      </c>
      <c r="AE245">
        <f t="shared" si="16"/>
        <v>11363.849999999999</v>
      </c>
    </row>
    <row r="246" spans="1:31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  <c r="X246" s="3">
        <f t="shared" si="20"/>
        <v>-8.1364188562595974E-3</v>
      </c>
      <c r="Y246" s="3">
        <f t="shared" si="21"/>
        <v>8.1364188562595974E-3</v>
      </c>
      <c r="Z246" s="3">
        <f t="shared" si="23"/>
        <v>4.1349930226843561E-3</v>
      </c>
      <c r="AA246" s="3">
        <f t="shared" si="19"/>
        <v>4.7143997903992445E-3</v>
      </c>
      <c r="AB246" s="3">
        <f t="shared" si="17"/>
        <v>5.0132218170484827E-3</v>
      </c>
      <c r="AC246">
        <f t="shared" si="22"/>
        <v>26765.599999999999</v>
      </c>
      <c r="AD246">
        <f t="shared" si="18"/>
        <v>25029.45</v>
      </c>
      <c r="AE246">
        <f t="shared" ref="AE246:AE309" si="24">MEDIAN(E67:E246)</f>
        <v>11531.099999999999</v>
      </c>
    </row>
    <row r="247" spans="1:31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  <c r="X247" s="3">
        <f t="shared" si="20"/>
        <v>-1.2796670625566664E-2</v>
      </c>
      <c r="Y247" s="3">
        <f t="shared" si="21"/>
        <v>1.2796670625566664E-2</v>
      </c>
      <c r="Z247" s="3">
        <f t="shared" si="23"/>
        <v>4.5025694323709399E-3</v>
      </c>
      <c r="AA247" s="3">
        <f t="shared" si="19"/>
        <v>4.8685311938980493E-3</v>
      </c>
      <c r="AB247" s="3">
        <f t="shared" ref="AB247:AB310" si="25">AVERAGE(Y68:Y247)</f>
        <v>5.0800353247769095E-3</v>
      </c>
      <c r="AC247">
        <f t="shared" si="22"/>
        <v>22455.45</v>
      </c>
      <c r="AD247">
        <f t="shared" si="18"/>
        <v>22455.45</v>
      </c>
      <c r="AE247">
        <f t="shared" si="24"/>
        <v>11531.099999999999</v>
      </c>
    </row>
    <row r="248" spans="1:31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  <c r="X248" s="3">
        <f t="shared" si="20"/>
        <v>-1.2323186405109321E-2</v>
      </c>
      <c r="Y248" s="3">
        <f t="shared" si="21"/>
        <v>1.2323186405109321E-2</v>
      </c>
      <c r="Z248" s="3">
        <f t="shared" si="23"/>
        <v>4.775437933369024E-3</v>
      </c>
      <c r="AA248" s="3">
        <f t="shared" si="19"/>
        <v>5.0124329604127405E-3</v>
      </c>
      <c r="AB248" s="3">
        <f t="shared" si="25"/>
        <v>5.0625483500878034E-3</v>
      </c>
      <c r="AC248">
        <f t="shared" si="22"/>
        <v>26765.599999999999</v>
      </c>
      <c r="AD248">
        <f t="shared" si="18"/>
        <v>25029.45</v>
      </c>
      <c r="AE248">
        <f t="shared" si="24"/>
        <v>11709.8</v>
      </c>
    </row>
    <row r="249" spans="1:31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  <c r="X249" s="3">
        <f t="shared" si="20"/>
        <v>-8.0873194087404121E-3</v>
      </c>
      <c r="Y249" s="3">
        <f t="shared" si="21"/>
        <v>8.0873194087404121E-3</v>
      </c>
      <c r="Z249" s="3">
        <f t="shared" si="23"/>
        <v>4.8491941516710328E-3</v>
      </c>
      <c r="AA249" s="3">
        <f t="shared" si="19"/>
        <v>5.0490387374981438E-3</v>
      </c>
      <c r="AB249" s="3">
        <f t="shared" si="25"/>
        <v>5.1019592420715014E-3</v>
      </c>
      <c r="AC249">
        <f t="shared" si="22"/>
        <v>22455.45</v>
      </c>
      <c r="AD249">
        <f t="shared" si="18"/>
        <v>25029.45</v>
      </c>
      <c r="AE249">
        <f t="shared" si="24"/>
        <v>11709.8</v>
      </c>
    </row>
    <row r="250" spans="1:31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  <c r="X250" s="3">
        <f t="shared" si="20"/>
        <v>-9.2366837128168289E-3</v>
      </c>
      <c r="Y250" s="3">
        <f t="shared" si="21"/>
        <v>9.2366837128168289E-3</v>
      </c>
      <c r="Z250" s="3">
        <f t="shared" si="23"/>
        <v>5.0578504860453377E-3</v>
      </c>
      <c r="AA250" s="3">
        <f t="shared" si="19"/>
        <v>5.0875061473670598E-3</v>
      </c>
      <c r="AB250" s="3">
        <f t="shared" si="25"/>
        <v>5.0528834733736634E-3</v>
      </c>
      <c r="AC250">
        <f t="shared" si="22"/>
        <v>22455.45</v>
      </c>
      <c r="AD250">
        <f t="shared" si="18"/>
        <v>25029.45</v>
      </c>
      <c r="AE250">
        <f t="shared" si="24"/>
        <v>11709.8</v>
      </c>
    </row>
    <row r="251" spans="1:31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  <c r="X251" s="3">
        <f t="shared" si="20"/>
        <v>-8.5908400183992706E-3</v>
      </c>
      <c r="Y251" s="3">
        <f t="shared" si="21"/>
        <v>8.5908400183992706E-3</v>
      </c>
      <c r="Z251" s="3">
        <f t="shared" si="23"/>
        <v>5.2398453283112245E-3</v>
      </c>
      <c r="AA251" s="3">
        <f t="shared" si="19"/>
        <v>5.1120325785468804E-3</v>
      </c>
      <c r="AB251" s="3">
        <f t="shared" si="25"/>
        <v>5.0956644825136269E-3</v>
      </c>
      <c r="AC251">
        <f t="shared" si="22"/>
        <v>22455.45</v>
      </c>
      <c r="AD251">
        <f t="shared" si="18"/>
        <v>28893.35</v>
      </c>
      <c r="AE251">
        <f t="shared" si="24"/>
        <v>11806.5</v>
      </c>
    </row>
    <row r="252" spans="1:31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  <c r="X252" s="3">
        <f t="shared" si="20"/>
        <v>-5.065551152073744E-3</v>
      </c>
      <c r="Y252" s="3">
        <f t="shared" si="21"/>
        <v>5.065551152073744E-3</v>
      </c>
      <c r="Z252" s="3">
        <f t="shared" si="23"/>
        <v>5.3620371225069092E-3</v>
      </c>
      <c r="AA252" s="3">
        <f t="shared" si="19"/>
        <v>5.04147506639734E-3</v>
      </c>
      <c r="AB252" s="3">
        <f t="shared" si="25"/>
        <v>5.0470921414870907E-3</v>
      </c>
      <c r="AC252">
        <f t="shared" si="22"/>
        <v>22455.45</v>
      </c>
      <c r="AD252">
        <f t="shared" si="18"/>
        <v>28893.35</v>
      </c>
      <c r="AE252">
        <f t="shared" si="24"/>
        <v>11897.55</v>
      </c>
    </row>
    <row r="253" spans="1:31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  <c r="X253" s="3">
        <f t="shared" si="20"/>
        <v>-1.0468769025735347E-2</v>
      </c>
      <c r="Y253" s="3">
        <f t="shared" si="21"/>
        <v>1.0468769025735347E-2</v>
      </c>
      <c r="Z253" s="3">
        <f t="shared" si="23"/>
        <v>5.6070403168630763E-3</v>
      </c>
      <c r="AA253" s="3">
        <f t="shared" si="19"/>
        <v>5.1094674881649871E-3</v>
      </c>
      <c r="AB253" s="3">
        <f t="shared" si="25"/>
        <v>5.0339196584043453E-3</v>
      </c>
      <c r="AC253">
        <f t="shared" si="22"/>
        <v>26765.599999999999</v>
      </c>
      <c r="AD253">
        <f t="shared" si="18"/>
        <v>30932.75</v>
      </c>
      <c r="AE253">
        <f t="shared" si="24"/>
        <v>12104.119999999999</v>
      </c>
    </row>
    <row r="254" spans="1:31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  <c r="X254" s="3">
        <f t="shared" si="20"/>
        <v>-3.2929922451992999E-3</v>
      </c>
      <c r="Y254" s="3">
        <f t="shared" si="21"/>
        <v>3.2929922451992999E-3</v>
      </c>
      <c r="Z254" s="3">
        <f t="shared" si="23"/>
        <v>5.636901778186809E-3</v>
      </c>
      <c r="AA254" s="3">
        <f t="shared" si="19"/>
        <v>4.9759966955313095E-3</v>
      </c>
      <c r="AB254" s="3">
        <f t="shared" si="25"/>
        <v>5.0404998256817178E-3</v>
      </c>
      <c r="AC254">
        <f t="shared" si="22"/>
        <v>26319.35</v>
      </c>
      <c r="AD254">
        <f t="shared" ref="AD254:AD317" si="26">MEDIAN(E195:E254)</f>
        <v>26765.599999999999</v>
      </c>
      <c r="AE254">
        <f t="shared" si="24"/>
        <v>12104.119999999999</v>
      </c>
    </row>
    <row r="255" spans="1:31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  <c r="X255" s="3">
        <f t="shared" si="20"/>
        <v>-1.598773065955239E-3</v>
      </c>
      <c r="Y255" s="3">
        <f t="shared" si="21"/>
        <v>1.598773065955239E-3</v>
      </c>
      <c r="Z255" s="3">
        <f t="shared" si="23"/>
        <v>5.5951565174612678E-3</v>
      </c>
      <c r="AA255" s="3">
        <f t="shared" ref="AA255:AA318" si="27">AVERAGE(Y196:Y255)</f>
        <v>4.8096410453783286E-3</v>
      </c>
      <c r="AB255" s="3">
        <f t="shared" si="25"/>
        <v>5.0205868836853676E-3</v>
      </c>
      <c r="AC255">
        <f t="shared" si="22"/>
        <v>19641.745000000003</v>
      </c>
      <c r="AD255">
        <f t="shared" si="26"/>
        <v>22455.45</v>
      </c>
      <c r="AE255">
        <f t="shared" si="24"/>
        <v>12104.119999999999</v>
      </c>
    </row>
    <row r="256" spans="1:31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  <c r="X256" s="3">
        <f t="shared" si="20"/>
        <v>2.3686917770420202E-3</v>
      </c>
      <c r="Y256" s="3">
        <f t="shared" si="21"/>
        <v>2.3686917770420202E-3</v>
      </c>
      <c r="Z256" s="3">
        <f t="shared" si="23"/>
        <v>5.5672437744466764E-3</v>
      </c>
      <c r="AA256" s="3">
        <f t="shared" si="27"/>
        <v>4.7251469011412488E-3</v>
      </c>
      <c r="AB256" s="3">
        <f t="shared" si="25"/>
        <v>5.0021052758008749E-3</v>
      </c>
      <c r="AC256">
        <f t="shared" si="22"/>
        <v>19641.745000000003</v>
      </c>
      <c r="AD256">
        <f t="shared" si="26"/>
        <v>21511.599999999999</v>
      </c>
      <c r="AE256">
        <f t="shared" si="24"/>
        <v>12104.119999999999</v>
      </c>
    </row>
    <row r="257" spans="1:31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  <c r="X257" s="3">
        <f t="shared" si="20"/>
        <v>8.484305427782779E-3</v>
      </c>
      <c r="Y257" s="3">
        <f t="shared" si="21"/>
        <v>8.484305427782779E-3</v>
      </c>
      <c r="Z257" s="3">
        <f t="shared" si="23"/>
        <v>5.6757271938912886E-3</v>
      </c>
      <c r="AA257" s="3">
        <f t="shared" si="27"/>
        <v>4.7325621862733588E-3</v>
      </c>
      <c r="AB257" s="3">
        <f t="shared" si="25"/>
        <v>5.0069702979997745E-3</v>
      </c>
      <c r="AC257">
        <f t="shared" si="22"/>
        <v>19641.745000000003</v>
      </c>
      <c r="AD257">
        <f t="shared" si="26"/>
        <v>21511.599999999999</v>
      </c>
      <c r="AE257">
        <f t="shared" si="24"/>
        <v>12331.92</v>
      </c>
    </row>
    <row r="258" spans="1:31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  <c r="X258" s="3">
        <f t="shared" si="20"/>
        <v>-3.8955312357502603E-3</v>
      </c>
      <c r="Y258" s="3">
        <f t="shared" si="21"/>
        <v>3.8955312357502603E-3</v>
      </c>
      <c r="Z258" s="3">
        <f t="shared" si="23"/>
        <v>5.6012633833629165E-3</v>
      </c>
      <c r="AA258" s="3">
        <f t="shared" si="27"/>
        <v>4.6448639377258604E-3</v>
      </c>
      <c r="AB258" s="3">
        <f t="shared" si="25"/>
        <v>4.9962766293148017E-3</v>
      </c>
      <c r="AC258">
        <f t="shared" si="22"/>
        <v>19404.599999999999</v>
      </c>
      <c r="AD258">
        <f t="shared" si="26"/>
        <v>20933.099999999999</v>
      </c>
      <c r="AE258">
        <f t="shared" si="24"/>
        <v>12331.92</v>
      </c>
    </row>
    <row r="259" spans="1:31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  <c r="X259" s="3">
        <f t="shared" si="20"/>
        <v>4.1124355833870307E-3</v>
      </c>
      <c r="Y259" s="3">
        <f t="shared" si="21"/>
        <v>4.1124355833870307E-3</v>
      </c>
      <c r="Z259" s="3">
        <f t="shared" si="23"/>
        <v>5.4854771280295591E-3</v>
      </c>
      <c r="AA259" s="3">
        <f t="shared" si="27"/>
        <v>4.6354435793452458E-3</v>
      </c>
      <c r="AB259" s="3">
        <f t="shared" si="25"/>
        <v>4.9650775788557221E-3</v>
      </c>
      <c r="AC259">
        <f t="shared" si="22"/>
        <v>23714.75</v>
      </c>
      <c r="AD259">
        <f t="shared" si="26"/>
        <v>20933.099999999999</v>
      </c>
      <c r="AE259">
        <f t="shared" si="24"/>
        <v>12565.375</v>
      </c>
    </row>
    <row r="260" spans="1:31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  <c r="X260" s="3">
        <f t="shared" ref="X260:X323" si="28">B260/U260-1</f>
        <v>4.3463855311354216E-4</v>
      </c>
      <c r="Y260" s="3">
        <f t="shared" ref="Y260:Y323" si="29">ABS(X260)</f>
        <v>4.3463855311354216E-4</v>
      </c>
      <c r="Z260" s="3">
        <f t="shared" si="23"/>
        <v>5.3630974613491237E-3</v>
      </c>
      <c r="AA260" s="3">
        <f t="shared" si="27"/>
        <v>4.5525645462214624E-3</v>
      </c>
      <c r="AB260" s="3">
        <f t="shared" si="25"/>
        <v>4.9192358526770497E-3</v>
      </c>
      <c r="AC260">
        <f t="shared" si="22"/>
        <v>23714.75</v>
      </c>
      <c r="AD260">
        <f t="shared" si="26"/>
        <v>19063.245000000003</v>
      </c>
      <c r="AE260">
        <f t="shared" si="24"/>
        <v>12565.375</v>
      </c>
    </row>
    <row r="261" spans="1:31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  <c r="X261" s="3">
        <f t="shared" si="28"/>
        <v>9.6184919466175689E-3</v>
      </c>
      <c r="Y261" s="3">
        <f t="shared" si="29"/>
        <v>9.6184919466175689E-3</v>
      </c>
      <c r="Z261" s="3">
        <f t="shared" si="23"/>
        <v>5.5080877698836109E-3</v>
      </c>
      <c r="AA261" s="3">
        <f t="shared" si="27"/>
        <v>4.6151722187791015E-3</v>
      </c>
      <c r="AB261" s="3">
        <f t="shared" si="25"/>
        <v>4.8886590647525038E-3</v>
      </c>
      <c r="AC261">
        <f t="shared" si="22"/>
        <v>23714.75</v>
      </c>
      <c r="AD261">
        <f t="shared" si="26"/>
        <v>19063.245000000003</v>
      </c>
      <c r="AE261">
        <f t="shared" si="24"/>
        <v>12565.375</v>
      </c>
    </row>
    <row r="262" spans="1:31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  <c r="X262" s="3">
        <f t="shared" si="28"/>
        <v>1.1499889908257011E-2</v>
      </c>
      <c r="Y262" s="3">
        <f t="shared" si="29"/>
        <v>1.1499889908257011E-2</v>
      </c>
      <c r="Z262" s="3">
        <f t="shared" si="23"/>
        <v>5.8821134591447817E-3</v>
      </c>
      <c r="AA262" s="3">
        <f t="shared" si="27"/>
        <v>4.7512425615903837E-3</v>
      </c>
      <c r="AB262" s="3">
        <f t="shared" si="25"/>
        <v>4.8571577650187662E-3</v>
      </c>
      <c r="AC262">
        <f t="shared" si="22"/>
        <v>16079.75</v>
      </c>
      <c r="AD262">
        <f t="shared" si="26"/>
        <v>19063.245000000003</v>
      </c>
      <c r="AE262">
        <f t="shared" si="24"/>
        <v>12565.375</v>
      </c>
    </row>
    <row r="263" spans="1:31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  <c r="X263" s="3">
        <f t="shared" si="28"/>
        <v>8.7235864592865031E-3</v>
      </c>
      <c r="Y263" s="3">
        <f t="shared" si="29"/>
        <v>8.7235864592865031E-3</v>
      </c>
      <c r="Z263" s="3">
        <f t="shared" si="23"/>
        <v>6.0635868816779218E-3</v>
      </c>
      <c r="AA263" s="3">
        <f t="shared" si="27"/>
        <v>4.89313539695825E-3</v>
      </c>
      <c r="AB263" s="3">
        <f t="shared" si="25"/>
        <v>4.8133498688941612E-3</v>
      </c>
      <c r="AC263">
        <f t="shared" si="22"/>
        <v>16079.75</v>
      </c>
      <c r="AD263">
        <f t="shared" si="26"/>
        <v>20933.099999999999</v>
      </c>
      <c r="AE263">
        <f t="shared" si="24"/>
        <v>12882.725</v>
      </c>
    </row>
    <row r="264" spans="1:31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  <c r="X264" s="3">
        <f t="shared" si="28"/>
        <v>5.6972515539304158E-3</v>
      </c>
      <c r="Y264" s="3">
        <f t="shared" si="29"/>
        <v>5.6972515539304158E-3</v>
      </c>
      <c r="Z264" s="3">
        <f t="shared" si="23"/>
        <v>6.2007997709872939E-3</v>
      </c>
      <c r="AA264" s="3">
        <f t="shared" si="27"/>
        <v>4.9748874525020713E-3</v>
      </c>
      <c r="AB264" s="3">
        <f t="shared" si="25"/>
        <v>4.818403144432438E-3</v>
      </c>
      <c r="AC264">
        <f t="shared" si="22"/>
        <v>16079.75</v>
      </c>
      <c r="AD264">
        <f t="shared" si="26"/>
        <v>21511.599999999999</v>
      </c>
      <c r="AE264">
        <f t="shared" si="24"/>
        <v>13007.6</v>
      </c>
    </row>
    <row r="265" spans="1:31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  <c r="X265" s="3">
        <f t="shared" si="28"/>
        <v>4.8537024581922772E-3</v>
      </c>
      <c r="Y265" s="3">
        <f t="shared" si="29"/>
        <v>4.8537024581922772E-3</v>
      </c>
      <c r="Z265" s="3">
        <f t="shared" si="23"/>
        <v>6.3138926975725837E-3</v>
      </c>
      <c r="AA265" s="3">
        <f t="shared" si="27"/>
        <v>4.9662125486855556E-3</v>
      </c>
      <c r="AB265" s="3">
        <f t="shared" si="25"/>
        <v>4.7329535764371912E-3</v>
      </c>
      <c r="AC265">
        <f t="shared" si="22"/>
        <v>21860.47</v>
      </c>
      <c r="AD265">
        <f t="shared" si="26"/>
        <v>22455.45</v>
      </c>
      <c r="AE265">
        <f t="shared" si="24"/>
        <v>13345.05</v>
      </c>
    </row>
    <row r="266" spans="1:31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  <c r="X266" s="3">
        <f t="shared" si="28"/>
        <v>8.2533145043739431E-4</v>
      </c>
      <c r="Y266" s="3">
        <f t="shared" si="29"/>
        <v>8.2533145043739431E-4</v>
      </c>
      <c r="Z266" s="3">
        <f t="shared" si="23"/>
        <v>6.2132063088565E-3</v>
      </c>
      <c r="AA266" s="3">
        <f t="shared" si="27"/>
        <v>4.8566144261771487E-3</v>
      </c>
      <c r="AB266" s="3">
        <f t="shared" si="25"/>
        <v>4.6973962809180652E-3</v>
      </c>
      <c r="AC266">
        <f t="shared" si="22"/>
        <v>13028.4</v>
      </c>
      <c r="AD266">
        <f t="shared" si="26"/>
        <v>22455.45</v>
      </c>
      <c r="AE266">
        <f t="shared" si="24"/>
        <v>13345.05</v>
      </c>
    </row>
    <row r="267" spans="1:31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  <c r="X267" s="3">
        <f t="shared" si="28"/>
        <v>-2.3555817767662024E-4</v>
      </c>
      <c r="Y267" s="3">
        <f t="shared" si="29"/>
        <v>2.3555817767662024E-4</v>
      </c>
      <c r="Z267" s="3">
        <f t="shared" si="23"/>
        <v>6.1082369206088968E-3</v>
      </c>
      <c r="AA267" s="3">
        <f t="shared" si="27"/>
        <v>4.732919830705634E-3</v>
      </c>
      <c r="AB267" s="3">
        <f t="shared" si="25"/>
        <v>4.6133599887411246E-3</v>
      </c>
      <c r="AC267">
        <f t="shared" si="22"/>
        <v>9177.9</v>
      </c>
      <c r="AD267">
        <f t="shared" si="26"/>
        <v>22455.45</v>
      </c>
      <c r="AE267">
        <f t="shared" si="24"/>
        <v>13345.05</v>
      </c>
    </row>
    <row r="268" spans="1:31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  <c r="X268" s="3">
        <f t="shared" si="28"/>
        <v>-1.6523882352942332E-3</v>
      </c>
      <c r="Y268" s="3">
        <f t="shared" si="29"/>
        <v>1.6523882352942332E-3</v>
      </c>
      <c r="Z268" s="3">
        <f t="shared" si="23"/>
        <v>5.9587238666031954E-3</v>
      </c>
      <c r="AA268" s="3">
        <f t="shared" si="27"/>
        <v>4.6635672262187932E-3</v>
      </c>
      <c r="AB268" s="3">
        <f t="shared" si="25"/>
        <v>4.6142611830050119E-3</v>
      </c>
      <c r="AC268">
        <f t="shared" si="22"/>
        <v>9177.9</v>
      </c>
      <c r="AD268">
        <f t="shared" si="26"/>
        <v>22455.45</v>
      </c>
      <c r="AE268">
        <f t="shared" si="24"/>
        <v>13340.150000000001</v>
      </c>
    </row>
    <row r="269" spans="1:31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  <c r="X269" s="3">
        <f t="shared" si="28"/>
        <v>1.5001609773954705E-3</v>
      </c>
      <c r="Y269" s="3">
        <f t="shared" si="29"/>
        <v>1.5001609773954705E-3</v>
      </c>
      <c r="Z269" s="3">
        <f t="shared" si="23"/>
        <v>5.6286671531167176E-3</v>
      </c>
      <c r="AA269" s="3">
        <f t="shared" si="27"/>
        <v>4.655144759072331E-3</v>
      </c>
      <c r="AB269" s="3">
        <f t="shared" si="25"/>
        <v>4.5915705747998203E-3</v>
      </c>
      <c r="AC269">
        <f t="shared" si="22"/>
        <v>8906.5</v>
      </c>
      <c r="AD269">
        <f t="shared" si="26"/>
        <v>21430.7</v>
      </c>
      <c r="AE269">
        <f t="shared" si="24"/>
        <v>12882.725</v>
      </c>
    </row>
    <row r="270" spans="1:31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  <c r="X270" s="3">
        <f t="shared" si="28"/>
        <v>5.5323308187671394E-3</v>
      </c>
      <c r="Y270" s="3">
        <f t="shared" si="29"/>
        <v>5.5323308187671394E-3</v>
      </c>
      <c r="Z270" s="3">
        <f t="shared" si="23"/>
        <v>5.6795675240266189E-3</v>
      </c>
      <c r="AA270" s="3">
        <f t="shared" si="27"/>
        <v>4.67396953397163E-3</v>
      </c>
      <c r="AB270" s="3">
        <f t="shared" si="25"/>
        <v>4.596708093388596E-3</v>
      </c>
      <c r="AC270">
        <f t="shared" si="22"/>
        <v>8688.1</v>
      </c>
      <c r="AD270">
        <f t="shared" si="26"/>
        <v>19063.245000000003</v>
      </c>
      <c r="AE270">
        <f t="shared" si="24"/>
        <v>12882.725</v>
      </c>
    </row>
    <row r="271" spans="1:31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  <c r="X271" s="3">
        <f t="shared" si="28"/>
        <v>2.8043206716212854E-3</v>
      </c>
      <c r="Y271" s="3">
        <f t="shared" si="29"/>
        <v>2.8043206716212854E-3</v>
      </c>
      <c r="Z271" s="3">
        <f t="shared" si="23"/>
        <v>5.5856287888382374E-3</v>
      </c>
      <c r="AA271" s="3">
        <f t="shared" si="27"/>
        <v>4.7074965138594145E-3</v>
      </c>
      <c r="AB271" s="3">
        <f t="shared" si="25"/>
        <v>4.5977879367306235E-3</v>
      </c>
      <c r="AC271">
        <f t="shared" si="22"/>
        <v>8906.5</v>
      </c>
      <c r="AD271">
        <f t="shared" si="26"/>
        <v>17037.145</v>
      </c>
      <c r="AE271">
        <f t="shared" si="24"/>
        <v>12882.725</v>
      </c>
    </row>
    <row r="272" spans="1:31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  <c r="X272" s="3">
        <f t="shared" si="28"/>
        <v>3.5263423059255228E-3</v>
      </c>
      <c r="Y272" s="3">
        <f t="shared" si="29"/>
        <v>3.5263423059255228E-3</v>
      </c>
      <c r="Z272" s="3">
        <f t="shared" si="23"/>
        <v>5.6681861181186568E-3</v>
      </c>
      <c r="AA272" s="3">
        <f t="shared" si="27"/>
        <v>4.7422726095365875E-3</v>
      </c>
      <c r="AB272" s="3">
        <f t="shared" si="25"/>
        <v>4.6086276045881145E-3</v>
      </c>
      <c r="AC272">
        <f t="shared" si="22"/>
        <v>8688.1</v>
      </c>
      <c r="AD272">
        <f t="shared" si="26"/>
        <v>16539.5</v>
      </c>
      <c r="AE272">
        <f t="shared" si="24"/>
        <v>12882.725</v>
      </c>
    </row>
    <row r="273" spans="1:31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  <c r="X273" s="3">
        <f t="shared" si="28"/>
        <v>1.6792739349518193E-3</v>
      </c>
      <c r="Y273" s="3">
        <f t="shared" si="29"/>
        <v>1.6792739349518193E-3</v>
      </c>
      <c r="Z273" s="3">
        <f t="shared" si="23"/>
        <v>5.5670602456222608E-3</v>
      </c>
      <c r="AA273" s="3">
        <f t="shared" si="27"/>
        <v>4.702932899568346E-3</v>
      </c>
      <c r="AB273" s="3">
        <f t="shared" si="25"/>
        <v>4.6101782262818729E-3</v>
      </c>
      <c r="AC273">
        <f t="shared" si="22"/>
        <v>8688.1</v>
      </c>
      <c r="AD273">
        <f t="shared" si="26"/>
        <v>16539.5</v>
      </c>
      <c r="AE273">
        <f t="shared" si="24"/>
        <v>13340.150000000001</v>
      </c>
    </row>
    <row r="274" spans="1:31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  <c r="X274" s="3">
        <f t="shared" si="28"/>
        <v>2.3506277472526982E-3</v>
      </c>
      <c r="Y274" s="3">
        <f t="shared" si="29"/>
        <v>2.3506277472526982E-3</v>
      </c>
      <c r="Z274" s="3">
        <f t="shared" si="23"/>
        <v>5.5046506734946566E-3</v>
      </c>
      <c r="AA274" s="3">
        <f t="shared" si="27"/>
        <v>4.5990169175781134E-3</v>
      </c>
      <c r="AB274" s="3">
        <f t="shared" si="25"/>
        <v>4.5981923257149247E-3</v>
      </c>
      <c r="AC274">
        <f t="shared" si="22"/>
        <v>8605</v>
      </c>
      <c r="AD274">
        <f t="shared" si="26"/>
        <v>16539.5</v>
      </c>
      <c r="AE274">
        <f t="shared" si="24"/>
        <v>13340.150000000001</v>
      </c>
    </row>
    <row r="275" spans="1:31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  <c r="X275" s="3">
        <f t="shared" si="28"/>
        <v>4.0413894495412439E-3</v>
      </c>
      <c r="Y275" s="3">
        <f t="shared" si="29"/>
        <v>4.0413894495412439E-3</v>
      </c>
      <c r="Z275" s="3">
        <f t="shared" si="23"/>
        <v>5.4477817729359519E-3</v>
      </c>
      <c r="AA275" s="3">
        <f t="shared" si="27"/>
        <v>4.665884620741541E-3</v>
      </c>
      <c r="AB275" s="3">
        <f t="shared" si="25"/>
        <v>4.6011250799282161E-3</v>
      </c>
      <c r="AC275">
        <f t="shared" si="22"/>
        <v>8384.2999999999993</v>
      </c>
      <c r="AD275">
        <f t="shared" si="26"/>
        <v>16539.5</v>
      </c>
      <c r="AE275">
        <f t="shared" si="24"/>
        <v>13340.150000000001</v>
      </c>
    </row>
    <row r="276" spans="1:31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  <c r="X276" s="3">
        <f t="shared" si="28"/>
        <v>3.6424348623853575E-3</v>
      </c>
      <c r="Y276" s="3">
        <f t="shared" si="29"/>
        <v>3.6424348623853575E-3</v>
      </c>
      <c r="Z276" s="3">
        <f t="shared" si="23"/>
        <v>5.2979823064734774E-3</v>
      </c>
      <c r="AA276" s="3">
        <f t="shared" si="27"/>
        <v>4.7164876645789163E-3</v>
      </c>
      <c r="AB276" s="3">
        <f t="shared" si="25"/>
        <v>4.5913763946585631E-3</v>
      </c>
      <c r="AC276">
        <f t="shared" si="22"/>
        <v>7669.8</v>
      </c>
      <c r="AD276">
        <f t="shared" si="26"/>
        <v>15819.25</v>
      </c>
      <c r="AE276">
        <f t="shared" si="24"/>
        <v>13340.150000000001</v>
      </c>
    </row>
    <row r="277" spans="1:31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  <c r="X277" s="3">
        <f t="shared" si="28"/>
        <v>-3.4620542141230448E-3</v>
      </c>
      <c r="Y277" s="3">
        <f t="shared" si="29"/>
        <v>3.4620542141230448E-3</v>
      </c>
      <c r="Z277" s="3">
        <f t="shared" si="23"/>
        <v>4.9868284260920232E-3</v>
      </c>
      <c r="AA277" s="3">
        <f t="shared" si="27"/>
        <v>4.7446989292314811E-3</v>
      </c>
      <c r="AB277" s="3">
        <f t="shared" si="25"/>
        <v>4.5966842844111545E-3</v>
      </c>
      <c r="AC277">
        <f t="shared" si="22"/>
        <v>8384.2999999999993</v>
      </c>
      <c r="AD277">
        <f t="shared" si="26"/>
        <v>15819.25</v>
      </c>
      <c r="AE277">
        <f t="shared" si="24"/>
        <v>13701.3</v>
      </c>
    </row>
    <row r="278" spans="1:31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  <c r="X278" s="3">
        <f t="shared" si="28"/>
        <v>-4.1037969301049859E-4</v>
      </c>
      <c r="Y278" s="3">
        <f t="shared" si="29"/>
        <v>4.1037969301049859E-4</v>
      </c>
      <c r="Z278" s="3">
        <f t="shared" si="23"/>
        <v>4.5897348690220625E-3</v>
      </c>
      <c r="AA278" s="3">
        <f t="shared" si="27"/>
        <v>4.6825864011955428E-3</v>
      </c>
      <c r="AB278" s="3">
        <f t="shared" si="25"/>
        <v>4.4998363964838623E-3</v>
      </c>
      <c r="AC278">
        <f t="shared" si="22"/>
        <v>7669.8</v>
      </c>
      <c r="AD278">
        <f t="shared" si="26"/>
        <v>15819.25</v>
      </c>
      <c r="AE278">
        <f t="shared" si="24"/>
        <v>13701.3</v>
      </c>
    </row>
    <row r="279" spans="1:31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  <c r="X279" s="3">
        <f t="shared" si="28"/>
        <v>-8.8333637691739852E-4</v>
      </c>
      <c r="Y279" s="3">
        <f t="shared" si="29"/>
        <v>8.8333637691739852E-4</v>
      </c>
      <c r="Z279" s="3">
        <f t="shared" si="23"/>
        <v>4.3496021012946291E-3</v>
      </c>
      <c r="AA279" s="3">
        <f t="shared" si="27"/>
        <v>4.5993981264828305E-3</v>
      </c>
      <c r="AB279" s="3">
        <f t="shared" si="25"/>
        <v>4.4707287029075293E-3</v>
      </c>
      <c r="AC279">
        <f t="shared" si="22"/>
        <v>7669.8</v>
      </c>
      <c r="AD279">
        <f t="shared" si="26"/>
        <v>15819.25</v>
      </c>
      <c r="AE279">
        <f t="shared" si="24"/>
        <v>13799.6</v>
      </c>
    </row>
    <row r="280" spans="1:31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  <c r="X280" s="3">
        <f t="shared" si="28"/>
        <v>-2.5227099725522173E-4</v>
      </c>
      <c r="Y280" s="3">
        <f t="shared" si="29"/>
        <v>2.5227099725522173E-4</v>
      </c>
      <c r="Z280" s="3">
        <f t="shared" si="23"/>
        <v>4.0501216774425754E-3</v>
      </c>
      <c r="AA280" s="3">
        <f t="shared" si="27"/>
        <v>4.5539860817439565E-3</v>
      </c>
      <c r="AB280" s="3">
        <f t="shared" si="25"/>
        <v>4.4631882023480306E-3</v>
      </c>
      <c r="AC280">
        <f t="shared" si="22"/>
        <v>7066.5</v>
      </c>
      <c r="AD280">
        <f t="shared" si="26"/>
        <v>15819.25</v>
      </c>
      <c r="AE280">
        <f t="shared" si="24"/>
        <v>13701.3</v>
      </c>
    </row>
    <row r="281" spans="1:31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  <c r="X281" s="3">
        <f t="shared" si="28"/>
        <v>-2.5269453382084084E-3</v>
      </c>
      <c r="Y281" s="3">
        <f t="shared" si="29"/>
        <v>2.5269453382084084E-3</v>
      </c>
      <c r="Z281" s="3">
        <f t="shared" si="23"/>
        <v>3.8479918547695466E-3</v>
      </c>
      <c r="AA281" s="3">
        <f t="shared" si="27"/>
        <v>4.5439185915403853E-3</v>
      </c>
      <c r="AB281" s="3">
        <f t="shared" si="25"/>
        <v>4.4682301539125009E-3</v>
      </c>
      <c r="AC281">
        <f t="shared" si="22"/>
        <v>7066.5</v>
      </c>
      <c r="AD281">
        <f t="shared" si="26"/>
        <v>15819.25</v>
      </c>
      <c r="AE281">
        <f t="shared" si="24"/>
        <v>13799.6</v>
      </c>
    </row>
    <row r="282" spans="1:31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  <c r="X282" s="3">
        <f t="shared" si="28"/>
        <v>-7.4204047619053082E-4</v>
      </c>
      <c r="Y282" s="3">
        <f t="shared" si="29"/>
        <v>7.4204047619053082E-4</v>
      </c>
      <c r="Z282" s="3">
        <f t="shared" si="23"/>
        <v>3.7038748322401061E-3</v>
      </c>
      <c r="AA282" s="3">
        <f t="shared" si="27"/>
        <v>4.5329559773735076E-3</v>
      </c>
      <c r="AB282" s="3">
        <f t="shared" si="25"/>
        <v>4.4650443688221547E-3</v>
      </c>
      <c r="AC282">
        <f t="shared" si="22"/>
        <v>7045.3</v>
      </c>
      <c r="AD282">
        <f t="shared" si="26"/>
        <v>15205.65</v>
      </c>
      <c r="AE282">
        <f t="shared" si="24"/>
        <v>13799.6</v>
      </c>
    </row>
    <row r="283" spans="1:31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  <c r="X283" s="3">
        <f t="shared" si="28"/>
        <v>9.6271633998901152E-4</v>
      </c>
      <c r="Y283" s="3">
        <f t="shared" si="29"/>
        <v>9.6271633998901152E-4</v>
      </c>
      <c r="Z283" s="3">
        <f t="shared" si="23"/>
        <v>3.3870064093818948E-3</v>
      </c>
      <c r="AA283" s="3">
        <f t="shared" si="27"/>
        <v>4.4970233631224854E-3</v>
      </c>
      <c r="AB283" s="3">
        <f t="shared" si="25"/>
        <v>4.4313555346455471E-3</v>
      </c>
      <c r="AC283">
        <f t="shared" si="22"/>
        <v>7045.3</v>
      </c>
      <c r="AD283">
        <f t="shared" si="26"/>
        <v>15819.25</v>
      </c>
      <c r="AE283">
        <f t="shared" si="24"/>
        <v>14013.900000000001</v>
      </c>
    </row>
    <row r="284" spans="1:31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  <c r="X284" s="3">
        <f t="shared" si="28"/>
        <v>3.0368451027145138E-3</v>
      </c>
      <c r="Y284" s="3">
        <f t="shared" si="29"/>
        <v>3.0368451027145138E-3</v>
      </c>
      <c r="Z284" s="3">
        <f t="shared" si="23"/>
        <v>3.3784681712990686E-3</v>
      </c>
      <c r="AA284" s="3">
        <f t="shared" si="27"/>
        <v>4.5076849747429388E-3</v>
      </c>
      <c r="AB284" s="3">
        <f t="shared" si="25"/>
        <v>4.3534742785304144E-3</v>
      </c>
      <c r="AC284">
        <f t="shared" si="22"/>
        <v>7045.3</v>
      </c>
      <c r="AD284">
        <f t="shared" si="26"/>
        <v>15205.65</v>
      </c>
      <c r="AE284">
        <f t="shared" si="24"/>
        <v>14321.875</v>
      </c>
    </row>
    <row r="285" spans="1:31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  <c r="X285" s="3">
        <f t="shared" si="28"/>
        <v>4.2399205504588533E-3</v>
      </c>
      <c r="Y285" s="3">
        <f t="shared" si="29"/>
        <v>4.2399205504588533E-3</v>
      </c>
      <c r="Z285" s="3">
        <f t="shared" si="23"/>
        <v>3.4665064207825224E-3</v>
      </c>
      <c r="AA285" s="3">
        <f t="shared" si="27"/>
        <v>4.5308314691218949E-3</v>
      </c>
      <c r="AB285" s="3">
        <f t="shared" si="25"/>
        <v>4.3567642700581216E-3</v>
      </c>
      <c r="AC285">
        <f t="shared" si="22"/>
        <v>7045.8</v>
      </c>
      <c r="AD285">
        <f t="shared" si="26"/>
        <v>14831.3</v>
      </c>
      <c r="AE285">
        <f t="shared" si="24"/>
        <v>14013.900000000001</v>
      </c>
    </row>
    <row r="286" spans="1:31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  <c r="X286" s="3">
        <f t="shared" si="28"/>
        <v>2.4377377574369419E-3</v>
      </c>
      <c r="Y286" s="3">
        <f t="shared" si="29"/>
        <v>2.4377377574369419E-3</v>
      </c>
      <c r="Z286" s="3">
        <f t="shared" si="23"/>
        <v>3.4688079534623533E-3</v>
      </c>
      <c r="AA286" s="3">
        <f t="shared" si="27"/>
        <v>4.5180258639545149E-3</v>
      </c>
      <c r="AB286" s="3">
        <f t="shared" si="25"/>
        <v>4.3251113597032416E-3</v>
      </c>
      <c r="AC286">
        <f t="shared" ref="AC286:AC343" si="30">MEDIAN(E257:E286)</f>
        <v>7445.3</v>
      </c>
      <c r="AD286">
        <f t="shared" si="26"/>
        <v>13300.599999999999</v>
      </c>
      <c r="AE286">
        <f t="shared" si="24"/>
        <v>14013.900000000001</v>
      </c>
    </row>
    <row r="287" spans="1:31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  <c r="X287" s="3">
        <f t="shared" si="28"/>
        <v>7.6376887909666014E-3</v>
      </c>
      <c r="Y287" s="3">
        <f t="shared" si="29"/>
        <v>7.6376887909666014E-3</v>
      </c>
      <c r="Z287" s="3">
        <f t="shared" si="23"/>
        <v>3.4405873989018141E-3</v>
      </c>
      <c r="AA287" s="3">
        <f t="shared" si="27"/>
        <v>4.5581572963965516E-3</v>
      </c>
      <c r="AB287" s="3">
        <f t="shared" si="25"/>
        <v>4.2937788319226721E-3</v>
      </c>
      <c r="AC287">
        <f t="shared" si="30"/>
        <v>6954.375</v>
      </c>
      <c r="AD287">
        <f t="shared" si="26"/>
        <v>11860.349999999999</v>
      </c>
      <c r="AE287">
        <f t="shared" si="24"/>
        <v>14013.900000000001</v>
      </c>
    </row>
    <row r="288" spans="1:31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  <c r="X288" s="3">
        <f t="shared" si="28"/>
        <v>8.9496933884296581E-3</v>
      </c>
      <c r="Y288" s="3">
        <f t="shared" si="29"/>
        <v>8.9496933884296581E-3</v>
      </c>
      <c r="Z288" s="3">
        <f t="shared" si="23"/>
        <v>3.609059470657794E-3</v>
      </c>
      <c r="AA288" s="3">
        <f t="shared" si="27"/>
        <v>4.605161427010355E-3</v>
      </c>
      <c r="AB288" s="3">
        <f t="shared" si="25"/>
        <v>4.3106172225901252E-3</v>
      </c>
      <c r="AC288">
        <f t="shared" si="30"/>
        <v>7445.3</v>
      </c>
      <c r="AD288">
        <f t="shared" si="26"/>
        <v>11860.349999999999</v>
      </c>
      <c r="AE288">
        <f t="shared" si="24"/>
        <v>14321.875</v>
      </c>
    </row>
    <row r="289" spans="1:31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  <c r="X289" s="3">
        <f t="shared" si="28"/>
        <v>1.1525869772998742E-2</v>
      </c>
      <c r="Y289" s="3">
        <f t="shared" si="29"/>
        <v>1.1525869772998742E-2</v>
      </c>
      <c r="Z289" s="3">
        <f t="shared" ref="Z289:Z342" si="31">AVERAGE(Y260:Y289)</f>
        <v>3.8561739436448511E-3</v>
      </c>
      <c r="AA289" s="3">
        <f t="shared" si="27"/>
        <v>4.6708255358372053E-3</v>
      </c>
      <c r="AB289" s="3">
        <f t="shared" si="25"/>
        <v>4.3597409895888874E-3</v>
      </c>
      <c r="AC289">
        <f t="shared" si="30"/>
        <v>7445.3</v>
      </c>
      <c r="AD289">
        <f t="shared" si="26"/>
        <v>11860.349999999999</v>
      </c>
      <c r="AE289">
        <f t="shared" si="24"/>
        <v>14321.875</v>
      </c>
    </row>
    <row r="290" spans="1:31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  <c r="X290" s="3">
        <f t="shared" si="28"/>
        <v>4.6544626253417487E-3</v>
      </c>
      <c r="Y290" s="3">
        <f t="shared" si="29"/>
        <v>4.6544626253417487E-3</v>
      </c>
      <c r="Z290" s="3">
        <f t="shared" si="31"/>
        <v>3.996834746052458E-3</v>
      </c>
      <c r="AA290" s="3">
        <f t="shared" si="27"/>
        <v>4.6799661037007908E-3</v>
      </c>
      <c r="AB290" s="3">
        <f t="shared" si="25"/>
        <v>4.3749458005220001E-3</v>
      </c>
      <c r="AC290">
        <f t="shared" si="30"/>
        <v>8069.3</v>
      </c>
      <c r="AD290">
        <f t="shared" si="26"/>
        <v>11117.65</v>
      </c>
      <c r="AE290">
        <f t="shared" si="24"/>
        <v>14321.875</v>
      </c>
    </row>
    <row r="291" spans="1:31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  <c r="X291" s="3">
        <f t="shared" si="28"/>
        <v>7.4535215607620664E-3</v>
      </c>
      <c r="Y291" s="3">
        <f t="shared" si="29"/>
        <v>7.4535215607620664E-3</v>
      </c>
      <c r="Z291" s="3">
        <f t="shared" si="31"/>
        <v>3.9246690665239413E-3</v>
      </c>
      <c r="AA291" s="3">
        <f t="shared" si="27"/>
        <v>4.7163784182037757E-3</v>
      </c>
      <c r="AB291" s="3">
        <f t="shared" si="25"/>
        <v>4.3993355738112883E-3</v>
      </c>
      <c r="AC291">
        <f t="shared" si="30"/>
        <v>8069.3</v>
      </c>
      <c r="AD291">
        <f t="shared" si="26"/>
        <v>9750.8499999999985</v>
      </c>
      <c r="AE291">
        <f t="shared" si="24"/>
        <v>14013.900000000001</v>
      </c>
    </row>
    <row r="292" spans="1:31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  <c r="X292" s="3">
        <f t="shared" si="28"/>
        <v>-1.2969734810070244E-2</v>
      </c>
      <c r="Y292" s="3">
        <f t="shared" si="29"/>
        <v>1.2969734810070244E-2</v>
      </c>
      <c r="Z292" s="3">
        <f t="shared" si="31"/>
        <v>3.9736638965843819E-3</v>
      </c>
      <c r="AA292" s="3">
        <f t="shared" si="27"/>
        <v>4.9278886778645814E-3</v>
      </c>
      <c r="AB292" s="3">
        <f t="shared" si="25"/>
        <v>4.4129281919150021E-3</v>
      </c>
      <c r="AC292">
        <f t="shared" si="30"/>
        <v>8524.2999999999993</v>
      </c>
      <c r="AD292">
        <f t="shared" si="26"/>
        <v>9750.8499999999985</v>
      </c>
      <c r="AE292">
        <f t="shared" si="24"/>
        <v>14013.900000000001</v>
      </c>
    </row>
    <row r="293" spans="1:31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  <c r="X293" s="3">
        <f t="shared" si="28"/>
        <v>5.2166428571429613E-3</v>
      </c>
      <c r="Y293" s="3">
        <f t="shared" si="29"/>
        <v>5.2166428571429613E-3</v>
      </c>
      <c r="Z293" s="3">
        <f t="shared" si="31"/>
        <v>3.8567657765129306E-3</v>
      </c>
      <c r="AA293" s="3">
        <f t="shared" si="27"/>
        <v>4.9601763290954264E-3</v>
      </c>
      <c r="AB293" s="3">
        <f t="shared" si="25"/>
        <v>4.435337572031189E-3</v>
      </c>
      <c r="AC293">
        <f t="shared" si="30"/>
        <v>8510.5499999999993</v>
      </c>
      <c r="AD293">
        <f t="shared" si="26"/>
        <v>9177.9</v>
      </c>
      <c r="AE293">
        <f t="shared" si="24"/>
        <v>14013.900000000001</v>
      </c>
    </row>
    <row r="294" spans="1:31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  <c r="X294" s="3">
        <f t="shared" si="28"/>
        <v>8.4719454298642916E-3</v>
      </c>
      <c r="Y294" s="3">
        <f t="shared" si="29"/>
        <v>8.4719454298642916E-3</v>
      </c>
      <c r="Z294" s="3">
        <f t="shared" si="31"/>
        <v>3.9492555723773934E-3</v>
      </c>
      <c r="AA294" s="3">
        <f t="shared" si="27"/>
        <v>5.0750276716823436E-3</v>
      </c>
      <c r="AB294" s="3">
        <f t="shared" si="25"/>
        <v>4.4260841497575773E-3</v>
      </c>
      <c r="AC294">
        <f t="shared" si="30"/>
        <v>8510.5499999999993</v>
      </c>
      <c r="AD294">
        <f t="shared" si="26"/>
        <v>9177.9</v>
      </c>
      <c r="AE294">
        <f t="shared" si="24"/>
        <v>14013.900000000001</v>
      </c>
    </row>
    <row r="295" spans="1:31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  <c r="X295" s="3">
        <f t="shared" si="28"/>
        <v>6.5781297297307084E-4</v>
      </c>
      <c r="Y295" s="3">
        <f t="shared" si="29"/>
        <v>6.5781297297307084E-4</v>
      </c>
      <c r="Z295" s="3">
        <f t="shared" si="31"/>
        <v>3.8093925895367532E-3</v>
      </c>
      <c r="AA295" s="3">
        <f t="shared" si="27"/>
        <v>5.0616426435546686E-3</v>
      </c>
      <c r="AB295" s="3">
        <f t="shared" si="25"/>
        <v>4.3744740669942588E-3</v>
      </c>
      <c r="AC295">
        <f t="shared" si="30"/>
        <v>8510.5499999999993</v>
      </c>
      <c r="AD295">
        <f t="shared" si="26"/>
        <v>9177.9</v>
      </c>
      <c r="AE295">
        <f t="shared" si="24"/>
        <v>14321.875</v>
      </c>
    </row>
    <row r="296" spans="1:31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  <c r="X296" s="3">
        <f t="shared" si="28"/>
        <v>-4.0016498337677175E-3</v>
      </c>
      <c r="Y296" s="3">
        <f t="shared" si="29"/>
        <v>4.0016498337677175E-3</v>
      </c>
      <c r="Z296" s="3">
        <f t="shared" si="31"/>
        <v>3.915269868981097E-3</v>
      </c>
      <c r="AA296" s="3">
        <f t="shared" si="27"/>
        <v>5.064238088918799E-3</v>
      </c>
      <c r="AB296" s="3">
        <f t="shared" si="25"/>
        <v>4.3855078503084724E-3</v>
      </c>
      <c r="AC296">
        <f t="shared" si="30"/>
        <v>8510.5499999999993</v>
      </c>
      <c r="AD296">
        <f t="shared" si="26"/>
        <v>8937.5</v>
      </c>
      <c r="AE296">
        <f t="shared" si="24"/>
        <v>14321.875</v>
      </c>
    </row>
    <row r="297" spans="1:31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  <c r="X297" s="3">
        <f t="shared" si="28"/>
        <v>9.8038515476943644E-3</v>
      </c>
      <c r="Y297" s="3">
        <f t="shared" si="29"/>
        <v>9.8038515476943644E-3</v>
      </c>
      <c r="Z297" s="3">
        <f t="shared" si="31"/>
        <v>4.2342129813150216E-3</v>
      </c>
      <c r="AA297" s="3">
        <f t="shared" si="27"/>
        <v>5.1712249509619597E-3</v>
      </c>
      <c r="AB297" s="3">
        <f t="shared" si="25"/>
        <v>4.4337729255454483E-3</v>
      </c>
      <c r="AC297">
        <f t="shared" si="30"/>
        <v>8510.5499999999993</v>
      </c>
      <c r="AD297">
        <f t="shared" si="26"/>
        <v>8762.25</v>
      </c>
      <c r="AE297">
        <f t="shared" si="24"/>
        <v>14321.875</v>
      </c>
    </row>
    <row r="298" spans="1:31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  <c r="X298" s="3">
        <f t="shared" si="28"/>
        <v>1.9975539838854584E-3</v>
      </c>
      <c r="Y298" s="3">
        <f t="shared" si="29"/>
        <v>1.9975539838854584E-3</v>
      </c>
      <c r="Z298" s="3">
        <f t="shared" si="31"/>
        <v>4.245718506268063E-3</v>
      </c>
      <c r="AA298" s="3">
        <f t="shared" si="27"/>
        <v>5.1022211864356296E-3</v>
      </c>
      <c r="AB298" s="3">
        <f t="shared" si="25"/>
        <v>4.4259917041355769E-3</v>
      </c>
      <c r="AC298">
        <f t="shared" si="30"/>
        <v>8510.5499999999993</v>
      </c>
      <c r="AD298">
        <f t="shared" si="26"/>
        <v>8762.25</v>
      </c>
      <c r="AE298">
        <f t="shared" si="24"/>
        <v>14321.875</v>
      </c>
    </row>
    <row r="299" spans="1:31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  <c r="X299" s="3">
        <f t="shared" si="28"/>
        <v>1.5666511960010787E-4</v>
      </c>
      <c r="Y299" s="3">
        <f t="shared" si="29"/>
        <v>1.5666511960010787E-4</v>
      </c>
      <c r="Z299" s="3">
        <f t="shared" si="31"/>
        <v>4.2009353110082177E-3</v>
      </c>
      <c r="AA299" s="3">
        <f t="shared" si="27"/>
        <v>4.9148012320624672E-3</v>
      </c>
      <c r="AB299" s="3">
        <f t="shared" si="25"/>
        <v>4.4020009447646143E-3</v>
      </c>
      <c r="AC299">
        <f t="shared" si="30"/>
        <v>8762.25</v>
      </c>
      <c r="AD299">
        <f t="shared" si="26"/>
        <v>8762.25</v>
      </c>
      <c r="AE299">
        <f t="shared" si="24"/>
        <v>14321.875</v>
      </c>
    </row>
    <row r="300" spans="1:31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  <c r="X300" s="3">
        <f t="shared" si="28"/>
        <v>4.7205422365244054E-3</v>
      </c>
      <c r="Y300" s="3">
        <f t="shared" si="29"/>
        <v>4.7205422365244054E-3</v>
      </c>
      <c r="Z300" s="3">
        <f t="shared" si="31"/>
        <v>4.1738756916001266E-3</v>
      </c>
      <c r="AA300" s="3">
        <f t="shared" si="27"/>
        <v>4.9267216078133728E-3</v>
      </c>
      <c r="AB300" s="3">
        <f t="shared" si="25"/>
        <v>4.4230944307273546E-3</v>
      </c>
      <c r="AC300">
        <f t="shared" si="30"/>
        <v>9510.4500000000007</v>
      </c>
      <c r="AD300">
        <f t="shared" si="26"/>
        <v>8762.25</v>
      </c>
      <c r="AE300">
        <f t="shared" si="24"/>
        <v>14550.474999999999</v>
      </c>
    </row>
    <row r="301" spans="1:31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  <c r="X301" s="3">
        <f t="shared" si="28"/>
        <v>3.6937945498263236E-3</v>
      </c>
      <c r="Y301" s="3">
        <f t="shared" si="29"/>
        <v>3.6937945498263236E-3</v>
      </c>
      <c r="Z301" s="3">
        <f t="shared" si="31"/>
        <v>4.2035248208736279E-3</v>
      </c>
      <c r="AA301" s="3">
        <f t="shared" si="27"/>
        <v>4.8945768048559322E-3</v>
      </c>
      <c r="AB301" s="3">
        <f t="shared" si="25"/>
        <v>4.4301630045959356E-3</v>
      </c>
      <c r="AC301">
        <f t="shared" si="30"/>
        <v>10383.200000000001</v>
      </c>
      <c r="AD301">
        <f t="shared" si="26"/>
        <v>8937.5</v>
      </c>
      <c r="AE301">
        <f t="shared" si="24"/>
        <v>14550.474999999999</v>
      </c>
    </row>
    <row r="302" spans="1:31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  <c r="X302" s="3">
        <f t="shared" si="28"/>
        <v>1.4134825044405108E-3</v>
      </c>
      <c r="Y302" s="3">
        <f t="shared" si="29"/>
        <v>1.4134825044405108E-3</v>
      </c>
      <c r="Z302" s="3">
        <f t="shared" si="31"/>
        <v>4.1330961608241268E-3</v>
      </c>
      <c r="AA302" s="3">
        <f t="shared" si="27"/>
        <v>4.9006411394713918E-3</v>
      </c>
      <c r="AB302" s="3">
        <f t="shared" si="25"/>
        <v>4.4213126864948316E-3</v>
      </c>
      <c r="AC302">
        <f t="shared" si="30"/>
        <v>10383.200000000001</v>
      </c>
      <c r="AD302">
        <f t="shared" si="26"/>
        <v>8762.25</v>
      </c>
      <c r="AE302">
        <f t="shared" si="24"/>
        <v>14550.474999999999</v>
      </c>
    </row>
    <row r="303" spans="1:31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  <c r="X303" s="3">
        <f t="shared" si="28"/>
        <v>-8.3801179914833046E-4</v>
      </c>
      <c r="Y303" s="3">
        <f t="shared" si="29"/>
        <v>8.3801179914833046E-4</v>
      </c>
      <c r="Z303" s="3">
        <f t="shared" si="31"/>
        <v>4.1050540896306774E-3</v>
      </c>
      <c r="AA303" s="3">
        <f t="shared" si="27"/>
        <v>4.8360571676264695E-3</v>
      </c>
      <c r="AB303" s="3">
        <f t="shared" si="25"/>
        <v>4.4019043973546985E-3</v>
      </c>
      <c r="AC303">
        <f t="shared" si="30"/>
        <v>10383.200000000001</v>
      </c>
      <c r="AD303">
        <f t="shared" si="26"/>
        <v>8762.25</v>
      </c>
      <c r="AE303">
        <f t="shared" si="24"/>
        <v>14806.474999999999</v>
      </c>
    </row>
    <row r="304" spans="1:31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  <c r="X304" s="3">
        <f t="shared" si="28"/>
        <v>4.9707385247366176E-3</v>
      </c>
      <c r="Y304" s="3">
        <f t="shared" si="29"/>
        <v>4.9707385247366176E-3</v>
      </c>
      <c r="Z304" s="3">
        <f t="shared" si="31"/>
        <v>4.1923911155468084E-3</v>
      </c>
      <c r="AA304" s="3">
        <f t="shared" si="27"/>
        <v>4.8485208945207321E-3</v>
      </c>
      <c r="AB304" s="3">
        <f t="shared" si="25"/>
        <v>4.394949209699555E-3</v>
      </c>
      <c r="AC304">
        <f t="shared" si="30"/>
        <v>10530.2</v>
      </c>
      <c r="AD304">
        <f t="shared" si="26"/>
        <v>8923</v>
      </c>
      <c r="AE304">
        <f t="shared" si="24"/>
        <v>14806.474999999999</v>
      </c>
    </row>
    <row r="305" spans="1:31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  <c r="X305" s="3">
        <f t="shared" si="28"/>
        <v>3.3028351334463135E-3</v>
      </c>
      <c r="Y305" s="3">
        <f t="shared" si="29"/>
        <v>3.3028351334463135E-3</v>
      </c>
      <c r="Z305" s="3">
        <f t="shared" si="31"/>
        <v>4.1677726383436437E-3</v>
      </c>
      <c r="AA305" s="3">
        <f t="shared" si="27"/>
        <v>4.8077772056397978E-3</v>
      </c>
      <c r="AB305" s="3">
        <f t="shared" si="25"/>
        <v>4.4031128543357478E-3</v>
      </c>
      <c r="AC305">
        <f t="shared" si="30"/>
        <v>10530.2</v>
      </c>
      <c r="AD305">
        <f t="shared" si="26"/>
        <v>8762.25</v>
      </c>
      <c r="AE305">
        <f t="shared" si="24"/>
        <v>14550.474999999999</v>
      </c>
    </row>
    <row r="306" spans="1:31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  <c r="X306" s="3">
        <f t="shared" si="28"/>
        <v>5.5077601073345583E-3</v>
      </c>
      <c r="Y306" s="3">
        <f t="shared" si="29"/>
        <v>5.5077601073345583E-3</v>
      </c>
      <c r="Z306" s="3">
        <f t="shared" si="31"/>
        <v>4.2299501465086174E-3</v>
      </c>
      <c r="AA306" s="3">
        <f t="shared" si="27"/>
        <v>4.763966226491047E-3</v>
      </c>
      <c r="AB306" s="3">
        <f t="shared" si="25"/>
        <v>4.4208551156241383E-3</v>
      </c>
      <c r="AC306">
        <f t="shared" si="30"/>
        <v>10746.8</v>
      </c>
      <c r="AD306">
        <f t="shared" si="26"/>
        <v>8762.25</v>
      </c>
      <c r="AE306">
        <f t="shared" si="24"/>
        <v>14550.474999999999</v>
      </c>
    </row>
    <row r="307" spans="1:31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  <c r="X307" s="3">
        <f t="shared" si="28"/>
        <v>6.1863169603126877E-4</v>
      </c>
      <c r="Y307" s="3">
        <f t="shared" si="29"/>
        <v>6.1863169603126877E-4</v>
      </c>
      <c r="Z307" s="3">
        <f t="shared" si="31"/>
        <v>4.1351693959055576E-3</v>
      </c>
      <c r="AA307" s="3">
        <f t="shared" si="27"/>
        <v>4.5609989109987904E-3</v>
      </c>
      <c r="AB307" s="3">
        <f t="shared" si="25"/>
        <v>4.4197327541617608E-3</v>
      </c>
      <c r="AC307">
        <f t="shared" si="30"/>
        <v>9286.6</v>
      </c>
      <c r="AD307">
        <f t="shared" si="26"/>
        <v>8762.25</v>
      </c>
      <c r="AE307">
        <f t="shared" si="24"/>
        <v>14321.875</v>
      </c>
    </row>
    <row r="308" spans="1:31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  <c r="X308" s="3">
        <f t="shared" si="28"/>
        <v>1.4126552491102728E-3</v>
      </c>
      <c r="Y308" s="3">
        <f t="shared" si="29"/>
        <v>1.4126552491102728E-3</v>
      </c>
      <c r="Z308" s="3">
        <f t="shared" si="31"/>
        <v>4.1685785811088841E-3</v>
      </c>
      <c r="AA308" s="3">
        <f t="shared" si="27"/>
        <v>4.3791567250654733E-3</v>
      </c>
      <c r="AB308" s="3">
        <f t="shared" si="25"/>
        <v>4.4058539255978878E-3</v>
      </c>
      <c r="AC308">
        <f t="shared" si="30"/>
        <v>9286.6</v>
      </c>
      <c r="AD308">
        <f t="shared" si="26"/>
        <v>8731.25</v>
      </c>
      <c r="AE308">
        <f t="shared" si="24"/>
        <v>14321.875</v>
      </c>
    </row>
    <row r="309" spans="1:31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  <c r="X309" s="3">
        <f t="shared" si="28"/>
        <v>3.1777643334818251E-3</v>
      </c>
      <c r="Y309" s="3">
        <f t="shared" si="29"/>
        <v>3.1777643334818251E-3</v>
      </c>
      <c r="Z309" s="3">
        <f t="shared" si="31"/>
        <v>4.2450595129943647E-3</v>
      </c>
      <c r="AA309" s="3">
        <f t="shared" si="27"/>
        <v>4.2973308071444965E-3</v>
      </c>
      <c r="AB309" s="3">
        <f t="shared" si="25"/>
        <v>4.4148215316219992E-3</v>
      </c>
      <c r="AC309">
        <f t="shared" si="30"/>
        <v>8923</v>
      </c>
      <c r="AD309">
        <f t="shared" si="26"/>
        <v>8622.25</v>
      </c>
      <c r="AE309">
        <f t="shared" si="24"/>
        <v>14321.875</v>
      </c>
    </row>
    <row r="310" spans="1:31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  <c r="X310" s="3">
        <f t="shared" si="28"/>
        <v>3.4385303517230348E-3</v>
      </c>
      <c r="Y310" s="3">
        <f t="shared" si="29"/>
        <v>3.4385303517230348E-3</v>
      </c>
      <c r="Z310" s="3">
        <f t="shared" si="31"/>
        <v>4.351268158143292E-3</v>
      </c>
      <c r="AA310" s="3">
        <f t="shared" si="27"/>
        <v>4.2006949177929333E-3</v>
      </c>
      <c r="AB310" s="3">
        <f t="shared" si="25"/>
        <v>4.4221183669093502E-3</v>
      </c>
      <c r="AC310">
        <f t="shared" si="30"/>
        <v>9286.6</v>
      </c>
      <c r="AD310">
        <f t="shared" si="26"/>
        <v>8762.25</v>
      </c>
      <c r="AE310">
        <f t="shared" ref="AE310:AE343" si="32">MEDIAN(E131:E310)</f>
        <v>14550.474999999999</v>
      </c>
    </row>
    <row r="311" spans="1:31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  <c r="X311" s="3">
        <f t="shared" si="28"/>
        <v>2.8163366592426353E-3</v>
      </c>
      <c r="Y311" s="3">
        <f t="shared" si="29"/>
        <v>2.8163366592426353E-3</v>
      </c>
      <c r="Z311" s="3">
        <f t="shared" si="31"/>
        <v>4.3609145355110995E-3</v>
      </c>
      <c r="AA311" s="3">
        <f t="shared" si="27"/>
        <v>4.1044531951403233E-3</v>
      </c>
      <c r="AB311" s="3">
        <f t="shared" ref="AB311:AB343" si="33">AVERAGE(Y132:Y311)</f>
        <v>4.4292378797830181E-3</v>
      </c>
      <c r="AC311">
        <f t="shared" si="30"/>
        <v>9286.6</v>
      </c>
      <c r="AD311">
        <f t="shared" si="26"/>
        <v>8762.25</v>
      </c>
      <c r="AE311">
        <f t="shared" si="32"/>
        <v>14550.474999999999</v>
      </c>
    </row>
    <row r="312" spans="1:31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  <c r="X312" s="3">
        <f t="shared" si="28"/>
        <v>1.0452286222222273E-3</v>
      </c>
      <c r="Y312" s="3">
        <f t="shared" si="29"/>
        <v>1.0452286222222273E-3</v>
      </c>
      <c r="Z312" s="3">
        <f t="shared" si="31"/>
        <v>4.3710208070454892E-3</v>
      </c>
      <c r="AA312" s="3">
        <f t="shared" si="27"/>
        <v>4.0374478196427976E-3</v>
      </c>
      <c r="AB312" s="3">
        <f t="shared" si="33"/>
        <v>4.4092641906954052E-3</v>
      </c>
      <c r="AC312">
        <f t="shared" si="30"/>
        <v>9858.9750000000004</v>
      </c>
      <c r="AD312">
        <f t="shared" si="26"/>
        <v>8762.25</v>
      </c>
      <c r="AE312">
        <f t="shared" si="32"/>
        <v>14806.474999999999</v>
      </c>
    </row>
    <row r="313" spans="1:31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  <c r="X313" s="3">
        <f t="shared" si="28"/>
        <v>8.3153121392420815E-4</v>
      </c>
      <c r="Y313" s="3">
        <f t="shared" si="29"/>
        <v>8.3153121392420815E-4</v>
      </c>
      <c r="Z313" s="3">
        <f t="shared" si="31"/>
        <v>4.3666479695099961E-3</v>
      </c>
      <c r="AA313" s="3">
        <f t="shared" si="27"/>
        <v>3.8768271894459453E-3</v>
      </c>
      <c r="AB313" s="3">
        <f t="shared" si="33"/>
        <v>4.4079965949247214E-3</v>
      </c>
      <c r="AC313">
        <f t="shared" si="30"/>
        <v>9858.9750000000004</v>
      </c>
      <c r="AD313">
        <f t="shared" si="26"/>
        <v>8762.25</v>
      </c>
      <c r="AE313">
        <f t="shared" si="32"/>
        <v>14806.474999999999</v>
      </c>
    </row>
    <row r="314" spans="1:31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  <c r="X314" s="3">
        <f t="shared" si="28"/>
        <v>-4.2255811837456081E-3</v>
      </c>
      <c r="Y314" s="3">
        <f t="shared" si="29"/>
        <v>4.2255811837456081E-3</v>
      </c>
      <c r="Z314" s="3">
        <f t="shared" si="31"/>
        <v>4.4062725055443652E-3</v>
      </c>
      <c r="AA314" s="3">
        <f t="shared" si="27"/>
        <v>3.8923703384217173E-3</v>
      </c>
      <c r="AB314" s="3">
        <f t="shared" si="33"/>
        <v>4.4307812739666549E-3</v>
      </c>
      <c r="AC314">
        <f t="shared" si="30"/>
        <v>9562.39</v>
      </c>
      <c r="AD314">
        <f t="shared" si="26"/>
        <v>8762.25</v>
      </c>
      <c r="AE314">
        <f t="shared" si="32"/>
        <v>14806.474999999999</v>
      </c>
    </row>
    <row r="315" spans="1:31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  <c r="X315" s="3">
        <f t="shared" si="28"/>
        <v>-3.1049833009366701E-3</v>
      </c>
      <c r="Y315" s="3">
        <f t="shared" si="29"/>
        <v>3.1049833009366701E-3</v>
      </c>
      <c r="Z315" s="3">
        <f t="shared" si="31"/>
        <v>4.3684412638936264E-3</v>
      </c>
      <c r="AA315" s="3">
        <f t="shared" si="27"/>
        <v>3.9174738423380746E-3</v>
      </c>
      <c r="AB315" s="3">
        <f t="shared" si="33"/>
        <v>4.4099803500193052E-3</v>
      </c>
      <c r="AC315">
        <f t="shared" si="30"/>
        <v>9562.39</v>
      </c>
      <c r="AD315">
        <f t="shared" si="26"/>
        <v>8923</v>
      </c>
      <c r="AE315">
        <f t="shared" si="32"/>
        <v>14806.474999999999</v>
      </c>
    </row>
    <row r="316" spans="1:31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  <c r="X316" s="3">
        <f t="shared" si="28"/>
        <v>-2.8122429972606833E-3</v>
      </c>
      <c r="Y316" s="3">
        <f t="shared" si="29"/>
        <v>2.8122429972606833E-3</v>
      </c>
      <c r="Z316" s="3">
        <f t="shared" si="31"/>
        <v>4.3809247718877512E-3</v>
      </c>
      <c r="AA316" s="3">
        <f t="shared" si="27"/>
        <v>3.9248663626750523E-3</v>
      </c>
      <c r="AB316" s="3">
        <f t="shared" si="33"/>
        <v>4.4012542981973508E-3</v>
      </c>
      <c r="AC316">
        <f t="shared" si="30"/>
        <v>9918.1650000000009</v>
      </c>
      <c r="AD316">
        <f t="shared" si="26"/>
        <v>9286.6</v>
      </c>
      <c r="AE316">
        <f t="shared" si="32"/>
        <v>14806.474999999999</v>
      </c>
    </row>
    <row r="317" spans="1:31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  <c r="X317" s="3">
        <f t="shared" si="28"/>
        <v>-4.6724447877130038E-3</v>
      </c>
      <c r="Y317" s="3">
        <f t="shared" si="29"/>
        <v>4.6724447877130038E-3</v>
      </c>
      <c r="Z317" s="3">
        <f t="shared" si="31"/>
        <v>4.2820833051126312E-3</v>
      </c>
      <c r="AA317" s="3">
        <f t="shared" si="27"/>
        <v>3.8613353520072224E-3</v>
      </c>
      <c r="AB317" s="3">
        <f t="shared" si="33"/>
        <v>4.385661914235524E-3</v>
      </c>
      <c r="AC317">
        <f t="shared" si="30"/>
        <v>10369.674999999999</v>
      </c>
      <c r="AD317">
        <f t="shared" si="26"/>
        <v>9286.6</v>
      </c>
      <c r="AE317">
        <f t="shared" si="32"/>
        <v>15026.974999999999</v>
      </c>
    </row>
    <row r="318" spans="1:31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  <c r="X318" s="3">
        <f t="shared" si="28"/>
        <v>-6.585115543813358E-3</v>
      </c>
      <c r="Y318" s="3">
        <f t="shared" si="29"/>
        <v>6.585115543813358E-3</v>
      </c>
      <c r="Z318" s="3">
        <f t="shared" si="31"/>
        <v>4.2032640436254209E-3</v>
      </c>
      <c r="AA318" s="3">
        <f t="shared" si="27"/>
        <v>3.9061617571416072E-3</v>
      </c>
      <c r="AB318" s="3">
        <f t="shared" si="33"/>
        <v>4.4159552210600488E-3</v>
      </c>
      <c r="AC318">
        <f t="shared" si="30"/>
        <v>10369.674999999999</v>
      </c>
      <c r="AD318">
        <f t="shared" ref="AD318:AD343" si="34">MEDIAN(E259:E318)</f>
        <v>9562.39</v>
      </c>
      <c r="AE318">
        <f t="shared" si="32"/>
        <v>15026.974999999999</v>
      </c>
    </row>
    <row r="319" spans="1:31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  <c r="X319" s="3">
        <f t="shared" si="28"/>
        <v>2.4774959147424447E-3</v>
      </c>
      <c r="Y319" s="3">
        <f t="shared" si="29"/>
        <v>2.4774959147424447E-3</v>
      </c>
      <c r="Z319" s="3">
        <f t="shared" si="31"/>
        <v>3.9016515816835446E-3</v>
      </c>
      <c r="AA319" s="3">
        <f t="shared" ref="AA319:AA343" si="35">AVERAGE(Y260:Y319)</f>
        <v>3.8789127626641978E-3</v>
      </c>
      <c r="AB319" s="3">
        <f t="shared" si="33"/>
        <v>4.4254999275572058E-3</v>
      </c>
      <c r="AC319">
        <f t="shared" si="30"/>
        <v>10369.674999999999</v>
      </c>
      <c r="AD319">
        <f t="shared" si="34"/>
        <v>9562.39</v>
      </c>
      <c r="AE319">
        <f t="shared" si="32"/>
        <v>15205.65</v>
      </c>
    </row>
    <row r="320" spans="1:31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  <c r="X320" s="3">
        <f t="shared" si="28"/>
        <v>-1.8169467727674471E-3</v>
      </c>
      <c r="Y320" s="3">
        <f t="shared" si="29"/>
        <v>1.8169467727674471E-3</v>
      </c>
      <c r="Z320" s="3">
        <f t="shared" si="31"/>
        <v>3.8070677199310678E-3</v>
      </c>
      <c r="AA320" s="3">
        <f t="shared" si="35"/>
        <v>3.9019512329917629E-3</v>
      </c>
      <c r="AB320" s="3">
        <f t="shared" si="33"/>
        <v>4.4295153833935679E-3</v>
      </c>
      <c r="AC320">
        <f t="shared" si="30"/>
        <v>10581.865</v>
      </c>
      <c r="AD320">
        <f t="shared" si="34"/>
        <v>9918.1650000000009</v>
      </c>
      <c r="AE320">
        <f t="shared" si="32"/>
        <v>15370.55</v>
      </c>
    </row>
    <row r="321" spans="1:31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  <c r="X321" s="3">
        <f t="shared" si="28"/>
        <v>-1.2362041464489826E-3</v>
      </c>
      <c r="Y321" s="3">
        <f t="shared" si="29"/>
        <v>1.2362041464489826E-3</v>
      </c>
      <c r="Z321" s="3">
        <f t="shared" si="31"/>
        <v>3.5998238061206314E-3</v>
      </c>
      <c r="AA321" s="3">
        <f t="shared" si="35"/>
        <v>3.7622464363222864E-3</v>
      </c>
      <c r="AB321" s="3">
        <f t="shared" si="33"/>
        <v>4.4121340780798289E-3</v>
      </c>
      <c r="AC321">
        <f t="shared" si="30"/>
        <v>11224.14</v>
      </c>
      <c r="AD321">
        <f t="shared" si="34"/>
        <v>10229.825000000001</v>
      </c>
      <c r="AE321">
        <f t="shared" si="32"/>
        <v>15799.95</v>
      </c>
    </row>
    <row r="322" spans="1:31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  <c r="X322" s="3">
        <f t="shared" si="28"/>
        <v>3.5442534076828291E-3</v>
      </c>
      <c r="Y322" s="3">
        <f t="shared" si="29"/>
        <v>3.5442534076828291E-3</v>
      </c>
      <c r="Z322" s="3">
        <f t="shared" si="31"/>
        <v>3.2856410927077175E-3</v>
      </c>
      <c r="AA322" s="3">
        <f t="shared" si="35"/>
        <v>3.62965249464605E-3</v>
      </c>
      <c r="AB322" s="3">
        <f t="shared" si="33"/>
        <v>4.4287243732459673E-3</v>
      </c>
      <c r="AC322">
        <f t="shared" si="30"/>
        <v>10581.865</v>
      </c>
      <c r="AD322">
        <f t="shared" si="34"/>
        <v>10229.825000000001</v>
      </c>
      <c r="AE322">
        <f t="shared" si="32"/>
        <v>15799.95</v>
      </c>
    </row>
    <row r="323" spans="1:31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  <c r="X323" s="3">
        <f t="shared" si="28"/>
        <v>-4.7358454489376811E-4</v>
      </c>
      <c r="Y323" s="3">
        <f t="shared" si="29"/>
        <v>4.7358454489376811E-4</v>
      </c>
      <c r="Z323" s="3">
        <f t="shared" si="31"/>
        <v>3.1275391489660781E-3</v>
      </c>
      <c r="AA323" s="3">
        <f t="shared" si="35"/>
        <v>3.4921524627395044E-3</v>
      </c>
      <c r="AB323" s="3">
        <f t="shared" si="33"/>
        <v>4.3784735955310333E-3</v>
      </c>
      <c r="AC323">
        <f t="shared" si="30"/>
        <v>11224.14</v>
      </c>
      <c r="AD323">
        <f t="shared" si="34"/>
        <v>10229.825000000001</v>
      </c>
      <c r="AE323">
        <f t="shared" si="32"/>
        <v>16223.75</v>
      </c>
    </row>
    <row r="324" spans="1:31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  <c r="X324" s="3">
        <f t="shared" ref="X324:X343" si="36">B324/U324-1</f>
        <v>4.9242290854305537E-3</v>
      </c>
      <c r="Y324" s="3">
        <f t="shared" ref="Y324:Y343" si="37">ABS(X324)</f>
        <v>4.9242290854305537E-3</v>
      </c>
      <c r="Z324" s="3">
        <f t="shared" si="31"/>
        <v>3.0092819374849533E-3</v>
      </c>
      <c r="AA324" s="3">
        <f t="shared" si="35"/>
        <v>3.4792687549311733E-3</v>
      </c>
      <c r="AB324" s="3">
        <f t="shared" si="33"/>
        <v>4.3576781107358088E-3</v>
      </c>
      <c r="AC324">
        <f t="shared" si="30"/>
        <v>11224.14</v>
      </c>
      <c r="AD324">
        <f t="shared" si="34"/>
        <v>10229.825000000001</v>
      </c>
      <c r="AE324">
        <f t="shared" si="32"/>
        <v>15805.400000000001</v>
      </c>
    </row>
    <row r="325" spans="1:31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  <c r="X325" s="3">
        <f t="shared" si="36"/>
        <v>-9.9655672102250126E-4</v>
      </c>
      <c r="Y325" s="3">
        <f t="shared" si="37"/>
        <v>9.9655672102250126E-4</v>
      </c>
      <c r="Z325" s="3">
        <f t="shared" si="31"/>
        <v>3.0205733957532678E-3</v>
      </c>
      <c r="AA325" s="3">
        <f t="shared" si="35"/>
        <v>3.4149829926450105E-3</v>
      </c>
      <c r="AB325" s="3">
        <f t="shared" si="33"/>
        <v>4.3453748605233825E-3</v>
      </c>
      <c r="AC325">
        <f t="shared" si="30"/>
        <v>11224.14</v>
      </c>
      <c r="AD325">
        <f t="shared" si="34"/>
        <v>10229.825000000001</v>
      </c>
      <c r="AE325">
        <f t="shared" si="32"/>
        <v>15805.400000000001</v>
      </c>
    </row>
    <row r="326" spans="1:31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  <c r="X326" s="3">
        <f t="shared" si="36"/>
        <v>-2.049948148148184E-3</v>
      </c>
      <c r="Y326" s="3">
        <f t="shared" si="37"/>
        <v>2.049948148148184E-3</v>
      </c>
      <c r="Z326" s="3">
        <f t="shared" si="31"/>
        <v>2.9555166728992832E-3</v>
      </c>
      <c r="AA326" s="3">
        <f t="shared" si="35"/>
        <v>3.4353932709401901E-3</v>
      </c>
      <c r="AB326" s="3">
        <f t="shared" si="33"/>
        <v>4.302104153717904E-3</v>
      </c>
      <c r="AC326">
        <f t="shared" si="30"/>
        <v>11224.14</v>
      </c>
      <c r="AD326">
        <f t="shared" si="34"/>
        <v>10229.825000000001</v>
      </c>
      <c r="AE326">
        <f t="shared" si="32"/>
        <v>15805.400000000001</v>
      </c>
    </row>
    <row r="327" spans="1:31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  <c r="X327" s="3">
        <f t="shared" si="36"/>
        <v>-1.725049475262419E-3</v>
      </c>
      <c r="Y327" s="3">
        <f t="shared" si="37"/>
        <v>1.725049475262419E-3</v>
      </c>
      <c r="Z327" s="3">
        <f t="shared" si="31"/>
        <v>2.6862232704848851E-3</v>
      </c>
      <c r="AA327" s="3">
        <f t="shared" si="35"/>
        <v>3.4602181258999534E-3</v>
      </c>
      <c r="AB327" s="3">
        <f t="shared" si="33"/>
        <v>4.2812332689603745E-3</v>
      </c>
      <c r="AC327">
        <f t="shared" si="30"/>
        <v>11224.14</v>
      </c>
      <c r="AD327">
        <f t="shared" si="34"/>
        <v>10229.825000000001</v>
      </c>
      <c r="AE327">
        <f t="shared" si="32"/>
        <v>15370.55</v>
      </c>
    </row>
    <row r="328" spans="1:31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  <c r="X328" s="3">
        <f t="shared" si="36"/>
        <v>3.6037975345866169E-3</v>
      </c>
      <c r="Y328" s="3">
        <f t="shared" si="37"/>
        <v>3.6037975345866169E-3</v>
      </c>
      <c r="Z328" s="3">
        <f t="shared" si="31"/>
        <v>2.7397647221749236E-3</v>
      </c>
      <c r="AA328" s="3">
        <f t="shared" si="35"/>
        <v>3.4927416142214933E-3</v>
      </c>
      <c r="AB328" s="3">
        <f t="shared" si="33"/>
        <v>4.2731534214101368E-3</v>
      </c>
      <c r="AC328">
        <f t="shared" si="30"/>
        <v>11224.14</v>
      </c>
      <c r="AD328">
        <f t="shared" si="34"/>
        <v>10229.825000000001</v>
      </c>
      <c r="AE328">
        <f t="shared" si="32"/>
        <v>15205.65</v>
      </c>
    </row>
    <row r="329" spans="1:31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  <c r="X329" s="3">
        <f t="shared" si="36"/>
        <v>1.5172935138483279E-3</v>
      </c>
      <c r="Y329" s="3">
        <f t="shared" si="37"/>
        <v>1.5172935138483279E-3</v>
      </c>
      <c r="Z329" s="3">
        <f t="shared" si="31"/>
        <v>2.7851190019831979E-3</v>
      </c>
      <c r="AA329" s="3">
        <f t="shared" si="35"/>
        <v>3.4930271564957076E-3</v>
      </c>
      <c r="AB329" s="3">
        <f t="shared" si="33"/>
        <v>4.2489591609555337E-3</v>
      </c>
      <c r="AC329">
        <f t="shared" si="30"/>
        <v>11224.14</v>
      </c>
      <c r="AD329">
        <f t="shared" si="34"/>
        <v>10384.75</v>
      </c>
      <c r="AE329">
        <f t="shared" si="32"/>
        <v>15370.55</v>
      </c>
    </row>
    <row r="330" spans="1:31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  <c r="X330" s="3">
        <f t="shared" si="36"/>
        <v>-5.0707791341003672E-3</v>
      </c>
      <c r="Y330" s="3">
        <f t="shared" si="37"/>
        <v>5.0707791341003672E-3</v>
      </c>
      <c r="Z330" s="3">
        <f t="shared" si="31"/>
        <v>2.7967935652357299E-3</v>
      </c>
      <c r="AA330" s="3">
        <f t="shared" si="35"/>
        <v>3.485334628417928E-3</v>
      </c>
      <c r="AB330" s="3">
        <f t="shared" si="33"/>
        <v>4.2754982052906742E-3</v>
      </c>
      <c r="AC330">
        <f t="shared" si="30"/>
        <v>10581.865</v>
      </c>
      <c r="AD330">
        <f t="shared" si="34"/>
        <v>10384.75</v>
      </c>
      <c r="AE330">
        <f t="shared" si="32"/>
        <v>15370.55</v>
      </c>
    </row>
    <row r="331" spans="1:31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  <c r="X331" s="3">
        <f t="shared" si="36"/>
        <v>-9.0030050348899326E-4</v>
      </c>
      <c r="Y331" s="3">
        <f t="shared" si="37"/>
        <v>9.0030050348899326E-4</v>
      </c>
      <c r="Z331" s="3">
        <f t="shared" si="31"/>
        <v>2.7036770970244855E-3</v>
      </c>
      <c r="AA331" s="3">
        <f t="shared" si="35"/>
        <v>3.4536009589490563E-3</v>
      </c>
      <c r="AB331" s="3">
        <f t="shared" si="33"/>
        <v>4.2688082865445457E-3</v>
      </c>
      <c r="AC331">
        <f t="shared" si="30"/>
        <v>10581.865</v>
      </c>
      <c r="AD331">
        <f t="shared" si="34"/>
        <v>10581.865</v>
      </c>
      <c r="AE331">
        <f t="shared" si="32"/>
        <v>15805.400000000001</v>
      </c>
    </row>
    <row r="332" spans="1:31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  <c r="X332" s="3">
        <f t="shared" si="36"/>
        <v>1.8576176522662191E-3</v>
      </c>
      <c r="Y332" s="3">
        <f t="shared" si="37"/>
        <v>1.8576176522662191E-3</v>
      </c>
      <c r="Z332" s="3">
        <f t="shared" si="31"/>
        <v>2.7184816019520091E-3</v>
      </c>
      <c r="AA332" s="3">
        <f t="shared" si="35"/>
        <v>3.4257888813880679E-3</v>
      </c>
      <c r="AB332" s="3">
        <f t="shared" si="33"/>
        <v>4.234477894052493E-3</v>
      </c>
      <c r="AC332">
        <f t="shared" si="30"/>
        <v>11224.14</v>
      </c>
      <c r="AD332">
        <f t="shared" si="34"/>
        <v>11224.14</v>
      </c>
      <c r="AE332">
        <f t="shared" si="32"/>
        <v>16021.7</v>
      </c>
    </row>
    <row r="333" spans="1:31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  <c r="X333" s="3">
        <f t="shared" si="36"/>
        <v>-3.1399106748031258E-4</v>
      </c>
      <c r="Y333" s="3">
        <f t="shared" si="37"/>
        <v>3.1399106748031258E-4</v>
      </c>
      <c r="Z333" s="3">
        <f t="shared" si="31"/>
        <v>2.7010142442297417E-3</v>
      </c>
      <c r="AA333" s="3">
        <f t="shared" si="35"/>
        <v>3.4030341669302098E-3</v>
      </c>
      <c r="AB333" s="3">
        <f t="shared" si="33"/>
        <v>4.2189490053433825E-3</v>
      </c>
      <c r="AC333">
        <f t="shared" si="30"/>
        <v>10634.04</v>
      </c>
      <c r="AD333">
        <f t="shared" si="34"/>
        <v>10634.04</v>
      </c>
      <c r="AE333">
        <f t="shared" si="32"/>
        <v>15597.900000000001</v>
      </c>
    </row>
    <row r="334" spans="1:31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  <c r="X334" s="3">
        <f t="shared" si="36"/>
        <v>-1.0117462551584855E-2</v>
      </c>
      <c r="Y334" s="3">
        <f t="shared" si="37"/>
        <v>1.0117462551584855E-2</v>
      </c>
      <c r="Z334" s="3">
        <f t="shared" si="31"/>
        <v>2.8725717117913498E-3</v>
      </c>
      <c r="AA334" s="3">
        <f t="shared" si="35"/>
        <v>3.5324814136690791E-3</v>
      </c>
      <c r="AB334" s="3">
        <f t="shared" si="33"/>
        <v>4.243965664580583E-3</v>
      </c>
      <c r="AC334">
        <f t="shared" si="30"/>
        <v>11224.14</v>
      </c>
      <c r="AD334">
        <f t="shared" si="34"/>
        <v>11224.14</v>
      </c>
      <c r="AE334">
        <f t="shared" si="32"/>
        <v>15370.55</v>
      </c>
    </row>
    <row r="335" spans="1:31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  <c r="X335" s="3">
        <f t="shared" si="36"/>
        <v>-1.0205700939503015E-2</v>
      </c>
      <c r="Y335" s="3">
        <f t="shared" si="37"/>
        <v>1.0205700939503015E-2</v>
      </c>
      <c r="Z335" s="3">
        <f t="shared" si="31"/>
        <v>3.1026672386599064E-3</v>
      </c>
      <c r="AA335" s="3">
        <f t="shared" si="35"/>
        <v>3.6352199385017753E-3</v>
      </c>
      <c r="AB335" s="3">
        <f t="shared" si="33"/>
        <v>4.2933513680811974E-3</v>
      </c>
      <c r="AC335">
        <f t="shared" si="30"/>
        <v>12257.775</v>
      </c>
      <c r="AD335">
        <f t="shared" si="34"/>
        <v>11899.775</v>
      </c>
      <c r="AE335">
        <f t="shared" si="32"/>
        <v>15370.55</v>
      </c>
    </row>
    <row r="336" spans="1:31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  <c r="X336" s="3">
        <f t="shared" si="36"/>
        <v>-4.0849879858657623E-3</v>
      </c>
      <c r="Y336" s="3">
        <f t="shared" si="37"/>
        <v>4.0849879858657623E-3</v>
      </c>
      <c r="Z336" s="3">
        <f t="shared" si="31"/>
        <v>3.0552415012776129E-3</v>
      </c>
      <c r="AA336" s="3">
        <f t="shared" si="35"/>
        <v>3.642595823893115E-3</v>
      </c>
      <c r="AB336" s="3">
        <f t="shared" si="33"/>
        <v>4.285368283936739E-3</v>
      </c>
      <c r="AC336">
        <f t="shared" si="30"/>
        <v>12257.775</v>
      </c>
      <c r="AD336">
        <f t="shared" si="34"/>
        <v>11899.775</v>
      </c>
      <c r="AE336">
        <f t="shared" si="32"/>
        <v>15319.65</v>
      </c>
    </row>
    <row r="337" spans="1:31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  <c r="X337" s="3">
        <f t="shared" si="36"/>
        <v>-3.6444365226609987E-3</v>
      </c>
      <c r="Y337" s="3">
        <f t="shared" si="37"/>
        <v>3.6444365226609987E-3</v>
      </c>
      <c r="Z337" s="3">
        <f t="shared" si="31"/>
        <v>3.1561016621652707E-3</v>
      </c>
      <c r="AA337" s="3">
        <f t="shared" si="35"/>
        <v>3.6456355290354144E-3</v>
      </c>
      <c r="AB337" s="3">
        <f t="shared" si="33"/>
        <v>4.2833113818080805E-3</v>
      </c>
      <c r="AC337">
        <f t="shared" si="30"/>
        <v>12257.775</v>
      </c>
      <c r="AD337">
        <f t="shared" si="34"/>
        <v>11224.14</v>
      </c>
      <c r="AE337">
        <f t="shared" si="32"/>
        <v>15213.34</v>
      </c>
    </row>
    <row r="338" spans="1:31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  <c r="X338" s="3">
        <f t="shared" si="36"/>
        <v>-4.9816243386243686E-3</v>
      </c>
      <c r="Y338" s="3">
        <f t="shared" si="37"/>
        <v>4.9816243386243686E-3</v>
      </c>
      <c r="Z338" s="3">
        <f t="shared" si="31"/>
        <v>3.2750672984824072E-3</v>
      </c>
      <c r="AA338" s="3">
        <f t="shared" si="35"/>
        <v>3.7218229397956454E-3</v>
      </c>
      <c r="AB338" s="3">
        <f t="shared" si="33"/>
        <v>4.2885524789119866E-3</v>
      </c>
      <c r="AC338">
        <f t="shared" si="30"/>
        <v>13631.424999999999</v>
      </c>
      <c r="AD338">
        <f t="shared" si="34"/>
        <v>11899.775</v>
      </c>
      <c r="AE338">
        <f t="shared" si="32"/>
        <v>15213.34</v>
      </c>
    </row>
    <row r="339" spans="1:31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  <c r="X339" s="3">
        <f t="shared" si="36"/>
        <v>-4.3108991181658451E-3</v>
      </c>
      <c r="Y339" s="3">
        <f t="shared" si="37"/>
        <v>4.3108991181658451E-3</v>
      </c>
      <c r="Z339" s="3">
        <f t="shared" si="31"/>
        <v>3.3128384579718746E-3</v>
      </c>
      <c r="AA339" s="3">
        <f t="shared" si="35"/>
        <v>3.7789489854831199E-3</v>
      </c>
      <c r="AB339" s="3">
        <f t="shared" si="33"/>
        <v>4.2917382920295948E-3</v>
      </c>
      <c r="AC339">
        <f t="shared" si="30"/>
        <v>13742.025000000001</v>
      </c>
      <c r="AD339">
        <f t="shared" si="34"/>
        <v>11899.775</v>
      </c>
      <c r="AE339">
        <f t="shared" si="32"/>
        <v>15213.34</v>
      </c>
    </row>
    <row r="340" spans="1:31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  <c r="X340" s="3">
        <f t="shared" si="36"/>
        <v>-4.5695548017621324E-3</v>
      </c>
      <c r="Y340" s="3">
        <f t="shared" si="37"/>
        <v>4.5695548017621324E-3</v>
      </c>
      <c r="Z340" s="3">
        <f t="shared" si="31"/>
        <v>3.350539272973178E-3</v>
      </c>
      <c r="AA340" s="3">
        <f t="shared" si="35"/>
        <v>3.8509037155582348E-3</v>
      </c>
      <c r="AB340" s="3">
        <f t="shared" si="33"/>
        <v>4.3093755572381617E-3</v>
      </c>
      <c r="AC340">
        <f t="shared" si="30"/>
        <v>12817</v>
      </c>
      <c r="AD340">
        <f t="shared" si="34"/>
        <v>11899.775</v>
      </c>
      <c r="AE340">
        <f t="shared" si="32"/>
        <v>15213.34</v>
      </c>
    </row>
    <row r="341" spans="1:31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  <c r="X341" s="3">
        <f t="shared" si="36"/>
        <v>-4.2388062411847782E-3</v>
      </c>
      <c r="Y341" s="3">
        <f t="shared" si="37"/>
        <v>4.2388062411847782E-3</v>
      </c>
      <c r="Z341" s="3">
        <f t="shared" si="31"/>
        <v>3.3979549257045828E-3</v>
      </c>
      <c r="AA341" s="3">
        <f t="shared" si="35"/>
        <v>3.8794347306078409E-3</v>
      </c>
      <c r="AB341" s="3">
        <f t="shared" si="33"/>
        <v>4.3045760424531036E-3</v>
      </c>
      <c r="AC341">
        <f t="shared" si="30"/>
        <v>12817</v>
      </c>
      <c r="AD341">
        <f t="shared" si="34"/>
        <v>11860.42</v>
      </c>
      <c r="AE341">
        <f t="shared" si="32"/>
        <v>15213.34</v>
      </c>
    </row>
    <row r="342" spans="1:31" x14ac:dyDescent="0.3">
      <c r="A342" s="1">
        <v>46252</v>
      </c>
      <c r="B342">
        <v>112.8926597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6.4793219909999999</v>
      </c>
      <c r="H342">
        <v>5.637860796</v>
      </c>
      <c r="I342">
        <v>185.43</v>
      </c>
      <c r="J342">
        <v>6.53</v>
      </c>
      <c r="K342">
        <v>5.67</v>
      </c>
      <c r="L342">
        <v>12.892659739999999</v>
      </c>
      <c r="M342">
        <v>13.346986559999999</v>
      </c>
      <c r="N342">
        <v>6.5784122800000002</v>
      </c>
      <c r="O342">
        <v>6.57</v>
      </c>
      <c r="P342">
        <v>4.0891249999999999E-3</v>
      </c>
      <c r="Q342">
        <v>4.2696879999999998E-3</v>
      </c>
      <c r="R342">
        <v>0.112172032</v>
      </c>
      <c r="S342">
        <v>4.2388710000000003E-2</v>
      </c>
      <c r="T342">
        <v>7.6011553999999995E-2</v>
      </c>
      <c r="U342">
        <v>113.6</v>
      </c>
      <c r="V342">
        <v>-0.47920584100000002</v>
      </c>
      <c r="W342">
        <v>-3.9109511970000002</v>
      </c>
      <c r="X342" s="3">
        <f t="shared" si="36"/>
        <v>-6.2265871478872636E-3</v>
      </c>
      <c r="Y342" s="3">
        <f t="shared" si="37"/>
        <v>6.2265871478872636E-3</v>
      </c>
      <c r="Z342" s="3">
        <f t="shared" si="31"/>
        <v>3.5706668765600838E-3</v>
      </c>
      <c r="AA342" s="3">
        <f t="shared" si="35"/>
        <v>3.9708438418027863E-3</v>
      </c>
      <c r="AB342" s="3">
        <f t="shared" si="33"/>
        <v>4.3244513584123146E-3</v>
      </c>
      <c r="AC342">
        <f t="shared" si="30"/>
        <v>12817</v>
      </c>
      <c r="AD342">
        <f t="shared" si="34"/>
        <v>11951.045</v>
      </c>
      <c r="AE342">
        <f t="shared" si="32"/>
        <v>15319.65</v>
      </c>
    </row>
    <row r="343" spans="1:31" x14ac:dyDescent="0.3">
      <c r="A343" s="1">
        <v>46253</v>
      </c>
      <c r="B343">
        <v>112.7338062</v>
      </c>
      <c r="C343">
        <v>152472472.90000001</v>
      </c>
      <c r="D343">
        <v>449</v>
      </c>
      <c r="E343">
        <v>28223.8</v>
      </c>
      <c r="F343">
        <v>2</v>
      </c>
      <c r="G343">
        <v>6.4749222380000004</v>
      </c>
      <c r="H343">
        <v>5.6621942760000001</v>
      </c>
      <c r="I343">
        <v>185.17</v>
      </c>
      <c r="J343">
        <v>6.52</v>
      </c>
      <c r="K343">
        <v>5.7</v>
      </c>
      <c r="L343">
        <v>12.733806230000001</v>
      </c>
      <c r="M343">
        <v>13.18805749</v>
      </c>
      <c r="N343">
        <v>6.5781736999999998</v>
      </c>
      <c r="O343">
        <v>6.57</v>
      </c>
      <c r="P343">
        <v>4.0825770000000004E-3</v>
      </c>
      <c r="Q343">
        <v>4.2541380000000002E-3</v>
      </c>
      <c r="R343">
        <v>0.11206044599999999</v>
      </c>
      <c r="S343">
        <v>4.3487975999999998E-2</v>
      </c>
      <c r="T343">
        <v>7.2096795000000005E-2</v>
      </c>
      <c r="U343">
        <v>112.9</v>
      </c>
      <c r="V343">
        <v>-0.61924353300000001</v>
      </c>
      <c r="W343">
        <v>-3.9109511970000002</v>
      </c>
      <c r="X343" s="3">
        <f t="shared" si="36"/>
        <v>-1.4720442869796679E-3</v>
      </c>
      <c r="Y343" s="3">
        <f t="shared" si="37"/>
        <v>1.4720442869796679E-3</v>
      </c>
      <c r="Z343" s="3">
        <f>AVERAGE(Y314:Y343)</f>
        <v>3.592017312328599E-3</v>
      </c>
      <c r="AA343" s="3">
        <f t="shared" si="35"/>
        <v>3.9793326409192972E-3</v>
      </c>
      <c r="AB343" s="3">
        <f t="shared" si="33"/>
        <v>4.3049141874859573E-3</v>
      </c>
      <c r="AC343">
        <f t="shared" si="30"/>
        <v>12817</v>
      </c>
      <c r="AD343">
        <f t="shared" si="34"/>
        <v>11951.045</v>
      </c>
      <c r="AE343">
        <f t="shared" si="32"/>
        <v>15319.65</v>
      </c>
    </row>
    <row r="344" spans="1:31" x14ac:dyDescent="0.3">
      <c r="A344" s="1">
        <v>46254</v>
      </c>
      <c r="B344">
        <v>112.69314005</v>
      </c>
      <c r="C344">
        <v>152417471.91999999</v>
      </c>
      <c r="D344">
        <v>449</v>
      </c>
      <c r="E344">
        <v>9412.2000000000007</v>
      </c>
      <c r="F344">
        <v>3</v>
      </c>
      <c r="G344">
        <v>6.4683032611000009</v>
      </c>
      <c r="H344">
        <v>5.6673866019000005</v>
      </c>
      <c r="I344">
        <v>185.11</v>
      </c>
      <c r="J344">
        <v>6.52</v>
      </c>
      <c r="K344">
        <v>5.7</v>
      </c>
      <c r="L344">
        <v>12.693140049999997</v>
      </c>
      <c r="M344">
        <v>13.1513815526624</v>
      </c>
      <c r="N344">
        <v>6.5769222799999998</v>
      </c>
      <c r="O344">
        <v>6.5699999999999994</v>
      </c>
      <c r="P344">
        <v>4.0839242805739027E-3</v>
      </c>
      <c r="Q344">
        <v>4.2387535817956287E-3</v>
      </c>
      <c r="R344">
        <v>0.11193670743502521</v>
      </c>
      <c r="S344">
        <v>4.6918392881023507E-2</v>
      </c>
      <c r="T344">
        <v>7.0748983335433557E-2</v>
      </c>
      <c r="U344">
        <v>113.4</v>
      </c>
      <c r="V344">
        <v>-0.65509290113858754</v>
      </c>
      <c r="W344">
        <v>-3.9109511967821864</v>
      </c>
      <c r="X344" s="3">
        <f t="shared" ref="X344:X345" si="38">B344/U344-1</f>
        <v>-6.2333328924163434E-3</v>
      </c>
      <c r="Y344" s="3">
        <f t="shared" ref="Y344:Y345" si="39">ABS(X344)</f>
        <v>6.2333328924163434E-3</v>
      </c>
      <c r="Z344" s="3">
        <f t="shared" ref="Z344:Z345" si="40">AVERAGE(Y315:Y344)</f>
        <v>3.6589423692842903E-3</v>
      </c>
      <c r="AA344" s="3">
        <f t="shared" ref="AA344:AA345" si="41">AVERAGE(Y285:Y344)</f>
        <v>4.0326074374143284E-3</v>
      </c>
      <c r="AB344" s="3">
        <f t="shared" ref="AB344:AB345" si="42">AVERAGE(Y165:Y344)</f>
        <v>4.3189084056306391E-3</v>
      </c>
      <c r="AC344">
        <f t="shared" ref="AC344:AC345" si="43">MEDIAN(E315:E344)</f>
        <v>12817</v>
      </c>
      <c r="AD344">
        <f t="shared" ref="AD344:AD345" si="44">MEDIAN(E285:E344)</f>
        <v>11860.42</v>
      </c>
      <c r="AE344">
        <f t="shared" ref="AE344:AE345" si="45">MEDIAN(E165:E344)</f>
        <v>15319.65</v>
      </c>
    </row>
    <row r="345" spans="1:31" x14ac:dyDescent="0.3">
      <c r="A345" s="1">
        <v>46255</v>
      </c>
      <c r="B345">
        <v>112.40210623999999</v>
      </c>
      <c r="C345">
        <v>152023848.69</v>
      </c>
      <c r="D345" t="s">
        <v>31</v>
      </c>
      <c r="E345">
        <v>50576.4</v>
      </c>
      <c r="F345">
        <v>4</v>
      </c>
      <c r="G345">
        <v>6.4581965501000003</v>
      </c>
      <c r="H345">
        <v>5.7026861604999999</v>
      </c>
      <c r="I345">
        <v>184.64</v>
      </c>
      <c r="J345">
        <v>6.51</v>
      </c>
      <c r="K345">
        <v>5.74</v>
      </c>
      <c r="L345">
        <v>12.402106239999998</v>
      </c>
      <c r="M345">
        <v>12.864086704573396</v>
      </c>
      <c r="N345">
        <v>6.5774867000000006</v>
      </c>
      <c r="O345">
        <v>6.5699999999999994</v>
      </c>
      <c r="P345">
        <v>4.1073543356985806E-3</v>
      </c>
      <c r="Q345">
        <v>4.2573618058400096E-3</v>
      </c>
      <c r="R345">
        <v>0.11187773383927557</v>
      </c>
      <c r="S345">
        <v>4.8697280099796458E-2</v>
      </c>
      <c r="T345">
        <v>7.4644372923149405E-2</v>
      </c>
      <c r="V345">
        <v>-0.91165445230532161</v>
      </c>
      <c r="W345">
        <v>-3.9109511967821864</v>
      </c>
      <c r="X345" s="3"/>
      <c r="Y345" s="3"/>
      <c r="Z345" s="3"/>
      <c r="AA345" s="3"/>
      <c r="AB3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2026-08-24T02:23:25Z</dcterms:modified>
</cp:coreProperties>
</file>